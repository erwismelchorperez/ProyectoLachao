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ntajes por Valor" sheetId="1" state="visible" r:id="rId3"/>
    <sheet name="Resumen Variables" sheetId="2" state="visible" r:id="rId4"/>
    <sheet name="Plantilla Cálcul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<sst xmlns="http://schemas.openxmlformats.org/spreadsheetml/2006/main" count="250" uniqueCount="61">
  <si>
    <t xml:space="preserve">Categoría</t>
  </si>
  <si>
    <t xml:space="preserve">Variable</t>
  </si>
  <si>
    <t xml:space="preserve">Valor</t>
  </si>
  <si>
    <t xml:space="preserve">Puntaje_Scoring</t>
  </si>
  <si>
    <t xml:space="preserve">Tasa_Mora_Observada</t>
  </si>
  <si>
    <t xml:space="preserve">Peso_Variable</t>
  </si>
  <si>
    <t xml:space="preserve">Contribución_Máxima</t>
  </si>
  <si>
    <t xml:space="preserve">Número_Casos</t>
  </si>
  <si>
    <t xml:space="preserve">Riesgo_Cualitativo</t>
  </si>
  <si>
    <t xml:space="preserve">PesoPonderados</t>
  </si>
  <si>
    <t xml:space="preserve">Ejemplo</t>
  </si>
  <si>
    <t xml:space="preserve">MaxPonderado</t>
  </si>
  <si>
    <t xml:space="preserve">Carácter</t>
  </si>
  <si>
    <t xml:space="preserve">reputaciÓn_localidad</t>
  </si>
  <si>
    <t xml:space="preserve">MALA</t>
  </si>
  <si>
    <t xml:space="preserve">BAJO</t>
  </si>
  <si>
    <t xml:space="preserve">BUENA</t>
  </si>
  <si>
    <t xml:space="preserve">MEDIO</t>
  </si>
  <si>
    <t xml:space="preserve">MUY BUENA</t>
  </si>
  <si>
    <t xml:space="preserve">ALTO</t>
  </si>
  <si>
    <t xml:space="preserve">antigudad_domicilio</t>
  </si>
  <si>
    <t xml:space="preserve">MENOR DE 1 AÑO</t>
  </si>
  <si>
    <t xml:space="preserve">MAYOR DE 5 AÑOS</t>
  </si>
  <si>
    <t xml:space="preserve">DE 4 A 5 AÑOS</t>
  </si>
  <si>
    <t xml:space="preserve">DE 2 A 3 AÑOS</t>
  </si>
  <si>
    <t xml:space="preserve">antiguedad_actividad</t>
  </si>
  <si>
    <t xml:space="preserve">MENOR A 1 AÑO</t>
  </si>
  <si>
    <t xml:space="preserve">DE 1 A 3 AÑOS</t>
  </si>
  <si>
    <t xml:space="preserve">DE 3 A 5 AÑOS</t>
  </si>
  <si>
    <t xml:space="preserve">exp_cred_externa</t>
  </si>
  <si>
    <t xml:space="preserve">MOP DE 3 A 4</t>
  </si>
  <si>
    <t xml:space="preserve">MOP MAS DE 4</t>
  </si>
  <si>
    <t xml:space="preserve">MOP 2 A 3</t>
  </si>
  <si>
    <t xml:space="preserve">MOP 1</t>
  </si>
  <si>
    <t xml:space="preserve">exp_cred_interna</t>
  </si>
  <si>
    <t xml:space="preserve">PAGO PUNTUAL(CALIF. A)</t>
  </si>
  <si>
    <t xml:space="preserve">HASTA 5 ATRASOS MENORES DE 7 DIAS(CALIF. B)</t>
  </si>
  <si>
    <t xml:space="preserve">ATRASOS MAYORES A 15 DIAS (CALIF. D)</t>
  </si>
  <si>
    <t xml:space="preserve">HASTA 5 ATRASOS DE 8 A 15 DIAS (CALIF. C)</t>
  </si>
  <si>
    <t xml:space="preserve">Capacidad</t>
  </si>
  <si>
    <t xml:space="preserve">cap_pago</t>
  </si>
  <si>
    <t xml:space="preserve">MARGEN DEL 0% SOBRE SALDO DISPONIBLE NETO</t>
  </si>
  <si>
    <t xml:space="preserve">MARGEN DEL 30% SOBRE SALDO DISPONIBLE NETO</t>
  </si>
  <si>
    <t xml:space="preserve">MARGEN DEL 25% SOBRE SALDO DISPONIBLE NETO</t>
  </si>
  <si>
    <t xml:space="preserve">MARGEN DEL 10% SOBRE SALDO DISPONIBLE NETO</t>
  </si>
  <si>
    <t xml:space="preserve">Capital</t>
  </si>
  <si>
    <t xml:space="preserve">tipo_casa</t>
  </si>
  <si>
    <t xml:space="preserve">EL SOCIO CUENTA CON CASA RENTADA</t>
  </si>
  <si>
    <t xml:space="preserve">EL SOCIO CUENTA CON CASA FAMILIAR</t>
  </si>
  <si>
    <t xml:space="preserve">EL SOCIO CUENTA CON CASA PROPIA</t>
  </si>
  <si>
    <t xml:space="preserve">deudas</t>
  </si>
  <si>
    <t xml:space="preserve">DEUDAS  DEL 20 AL 30% DEL PATRIMONIO</t>
  </si>
  <si>
    <t xml:space="preserve">DEUDAS  DEL 30 AL 50% DEL PATRIMONIO</t>
  </si>
  <si>
    <t xml:space="preserve">DEUDAS DEL 1% AL 20% DEL PATRIMONIO</t>
  </si>
  <si>
    <t xml:space="preserve">SIN DEUDAS</t>
  </si>
  <si>
    <t xml:space="preserve">Rango_Puntajes</t>
  </si>
  <si>
    <t xml:space="preserve">Puntaje_Mínimo</t>
  </si>
  <si>
    <t xml:space="preserve">Puntaje_Máximo</t>
  </si>
  <si>
    <t xml:space="preserve">Poder_Discriminativo</t>
  </si>
  <si>
    <t xml:space="preserve">Número_Valores</t>
  </si>
  <si>
    <t xml:space="preserve">Puntaje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</si>
</sst>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4"/>
    </sheetView>
  </sheetViews>
  <sheetFormatPr defaultColWidth="16.2734375" defaultRowHeight="15" zeroHeight="false" outlineLevelRow="0" outlineLevelCol="0"/>
  <cols>
    <col collapsed="false" customWidth="true" hidden="false" outlineLevel="0" max="2" min="2" style="0" width="21.56"/>
    <col collapsed="false" customWidth="true" hidden="false" outlineLevel="0" max="3" min="3" style="0" width="43.13"/>
    <col collapsed="false" customWidth="true" hidden="false" outlineLevel="0" max="13" min="13" style="0" width="18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100</v>
      </c>
      <c r="E2" s="0" t="n">
        <v>0.0349</v>
      </c>
      <c r="F2" s="0" t="n">
        <v>0.151</v>
      </c>
      <c r="G2" s="0" t="n">
        <v>15.1</v>
      </c>
      <c r="H2" s="0" t="n">
        <v>2290</v>
      </c>
      <c r="I2" s="0" t="s">
        <v>15</v>
      </c>
      <c r="J2" s="0" t="n">
        <f aca="false">D2*F2</f>
        <v>15.1</v>
      </c>
      <c r="K2" s="0" t="n">
        <v>15.1</v>
      </c>
      <c r="L2" s="0" t="n">
        <v>15.1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16</v>
      </c>
      <c r="D3" s="0" t="n">
        <v>50</v>
      </c>
      <c r="E3" s="0" t="n">
        <v>0.0446</v>
      </c>
      <c r="F3" s="0" t="n">
        <v>0.151</v>
      </c>
      <c r="G3" s="0" t="n">
        <v>15.1</v>
      </c>
      <c r="H3" s="0" t="n">
        <v>471</v>
      </c>
      <c r="I3" s="0" t="s">
        <v>17</v>
      </c>
      <c r="J3" s="0" t="n">
        <f aca="false">D3*F3</f>
        <v>7.55</v>
      </c>
      <c r="K3" s="0" t="n">
        <v>0</v>
      </c>
      <c r="L3" s="0" t="n">
        <v>0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18</v>
      </c>
      <c r="D4" s="0" t="n">
        <v>0</v>
      </c>
      <c r="E4" s="0" t="n">
        <v>0.05</v>
      </c>
      <c r="F4" s="0" t="n">
        <v>0.151</v>
      </c>
      <c r="G4" s="0" t="n">
        <v>15.1</v>
      </c>
      <c r="H4" s="0" t="n">
        <v>11790</v>
      </c>
      <c r="I4" s="0" t="s">
        <v>19</v>
      </c>
      <c r="J4" s="0" t="n">
        <f aca="false">D4*F4</f>
        <v>0</v>
      </c>
      <c r="K4" s="0" t="n">
        <v>0</v>
      </c>
      <c r="L4" s="0" t="n">
        <v>0</v>
      </c>
    </row>
    <row r="5" customFormat="false" ht="15" hidden="false" customHeight="false" outlineLevel="0" collapsed="false">
      <c r="A5" s="0" t="s">
        <v>12</v>
      </c>
      <c r="B5" s="0" t="s">
        <v>20</v>
      </c>
      <c r="C5" s="0" t="s">
        <v>21</v>
      </c>
      <c r="D5" s="0" t="n">
        <v>100</v>
      </c>
      <c r="E5" s="0" t="n">
        <v>0.0356</v>
      </c>
      <c r="F5" s="0" t="n">
        <v>0.202</v>
      </c>
      <c r="G5" s="0" t="n">
        <v>20.2</v>
      </c>
      <c r="H5" s="0" t="n">
        <v>1743</v>
      </c>
      <c r="I5" s="0" t="s">
        <v>15</v>
      </c>
      <c r="J5" s="0" t="n">
        <f aca="false">D5*F5</f>
        <v>20.2</v>
      </c>
      <c r="K5" s="0" t="n">
        <v>20.2</v>
      </c>
      <c r="L5" s="0" t="n">
        <v>20.2</v>
      </c>
    </row>
    <row r="6" customFormat="false" ht="15" hidden="false" customHeight="false" outlineLevel="0" collapsed="false">
      <c r="A6" s="0" t="s">
        <v>12</v>
      </c>
      <c r="B6" s="0" t="s">
        <v>20</v>
      </c>
      <c r="C6" s="0" t="s">
        <v>22</v>
      </c>
      <c r="D6" s="0" t="n">
        <v>67</v>
      </c>
      <c r="E6" s="0" t="n">
        <v>0.0483</v>
      </c>
      <c r="F6" s="0" t="n">
        <v>0.202</v>
      </c>
      <c r="G6" s="0" t="n">
        <v>20.2</v>
      </c>
      <c r="H6" s="0" t="n">
        <v>11500</v>
      </c>
      <c r="I6" s="0" t="s">
        <v>17</v>
      </c>
      <c r="J6" s="0" t="n">
        <f aca="false">D6*F6</f>
        <v>13.534</v>
      </c>
      <c r="K6" s="0" t="n">
        <v>0</v>
      </c>
      <c r="L6" s="0" t="n">
        <v>0</v>
      </c>
    </row>
    <row r="7" customFormat="false" ht="15" hidden="false" customHeight="false" outlineLevel="0" collapsed="false">
      <c r="A7" s="0" t="s">
        <v>12</v>
      </c>
      <c r="B7" s="0" t="s">
        <v>20</v>
      </c>
      <c r="C7" s="0" t="s">
        <v>23</v>
      </c>
      <c r="D7" s="0" t="n">
        <v>33</v>
      </c>
      <c r="E7" s="0" t="n">
        <v>0.0558</v>
      </c>
      <c r="F7" s="0" t="n">
        <v>0.202</v>
      </c>
      <c r="G7" s="0" t="n">
        <v>20.2</v>
      </c>
      <c r="H7" s="0" t="n">
        <v>681</v>
      </c>
      <c r="I7" s="0" t="s">
        <v>19</v>
      </c>
      <c r="J7" s="0" t="n">
        <f aca="false">D7*F7</f>
        <v>6.666</v>
      </c>
      <c r="K7" s="0" t="n">
        <v>0</v>
      </c>
      <c r="L7" s="0" t="n">
        <v>0</v>
      </c>
    </row>
    <row r="8" customFormat="false" ht="15" hidden="false" customHeight="false" outlineLevel="0" collapsed="false">
      <c r="A8" s="0" t="s">
        <v>12</v>
      </c>
      <c r="B8" s="0" t="s">
        <v>20</v>
      </c>
      <c r="C8" s="0" t="s">
        <v>24</v>
      </c>
      <c r="D8" s="0" t="n">
        <v>0</v>
      </c>
      <c r="E8" s="0" t="n">
        <v>0.0558</v>
      </c>
      <c r="F8" s="0" t="n">
        <v>0.202</v>
      </c>
      <c r="G8" s="0" t="n">
        <v>20.2</v>
      </c>
      <c r="H8" s="0" t="n">
        <v>627</v>
      </c>
      <c r="I8" s="0" t="s">
        <v>19</v>
      </c>
      <c r="J8" s="0" t="n">
        <f aca="false">D8*F8</f>
        <v>0</v>
      </c>
      <c r="K8" s="0" t="n">
        <v>0</v>
      </c>
      <c r="L8" s="0" t="n">
        <v>0</v>
      </c>
    </row>
    <row r="9" customFormat="false" ht="15" hidden="false" customHeight="false" outlineLevel="0" collapsed="false">
      <c r="A9" s="0" t="s">
        <v>12</v>
      </c>
      <c r="B9" s="0" t="s">
        <v>25</v>
      </c>
      <c r="C9" s="0" t="s">
        <v>26</v>
      </c>
      <c r="D9" s="0" t="n">
        <v>100</v>
      </c>
      <c r="E9" s="0" t="n">
        <v>0.0357</v>
      </c>
      <c r="F9" s="0" t="n">
        <v>0.191</v>
      </c>
      <c r="G9" s="0" t="n">
        <v>19.1</v>
      </c>
      <c r="H9" s="0" t="n">
        <v>1738</v>
      </c>
      <c r="I9" s="0" t="s">
        <v>15</v>
      </c>
      <c r="J9" s="0" t="n">
        <f aca="false">D9*F9</f>
        <v>19.1</v>
      </c>
      <c r="K9" s="0" t="n">
        <v>19.1</v>
      </c>
      <c r="L9" s="0" t="n">
        <v>19.1</v>
      </c>
    </row>
    <row r="10" customFormat="false" ht="15" hidden="false" customHeight="false" outlineLevel="0" collapsed="false">
      <c r="A10" s="0" t="s">
        <v>12</v>
      </c>
      <c r="B10" s="0" t="s">
        <v>25</v>
      </c>
      <c r="C10" s="0" t="s">
        <v>22</v>
      </c>
      <c r="D10" s="0" t="n">
        <v>67</v>
      </c>
      <c r="E10" s="0" t="n">
        <v>0.045</v>
      </c>
      <c r="F10" s="0" t="n">
        <v>0.191</v>
      </c>
      <c r="G10" s="0" t="n">
        <v>19.1</v>
      </c>
      <c r="H10" s="0" t="n">
        <v>7373</v>
      </c>
      <c r="I10" s="0" t="s">
        <v>17</v>
      </c>
      <c r="J10" s="0" t="n">
        <f aca="false">D10*F10</f>
        <v>12.797</v>
      </c>
      <c r="K10" s="0" t="n">
        <v>0</v>
      </c>
      <c r="L10" s="0" t="n">
        <v>0</v>
      </c>
    </row>
    <row r="11" customFormat="false" ht="15" hidden="false" customHeight="false" outlineLevel="0" collapsed="false">
      <c r="A11" s="0" t="s">
        <v>12</v>
      </c>
      <c r="B11" s="0" t="s">
        <v>25</v>
      </c>
      <c r="C11" s="0" t="s">
        <v>27</v>
      </c>
      <c r="D11" s="0" t="n">
        <v>33</v>
      </c>
      <c r="E11" s="0" t="n">
        <v>0.0544</v>
      </c>
      <c r="F11" s="0" t="n">
        <v>0.191</v>
      </c>
      <c r="G11" s="0" t="n">
        <v>19.1</v>
      </c>
      <c r="H11" s="0" t="n">
        <v>2427</v>
      </c>
      <c r="I11" s="0" t="s">
        <v>19</v>
      </c>
      <c r="J11" s="0" t="n">
        <f aca="false">D11*F11</f>
        <v>6.303</v>
      </c>
      <c r="K11" s="0" t="n">
        <v>0</v>
      </c>
      <c r="L11" s="0" t="n">
        <v>0</v>
      </c>
    </row>
    <row r="12" customFormat="false" ht="15" hidden="false" customHeight="false" outlineLevel="0" collapsed="false">
      <c r="A12" s="0" t="s">
        <v>12</v>
      </c>
      <c r="B12" s="0" t="s">
        <v>25</v>
      </c>
      <c r="C12" s="0" t="s">
        <v>28</v>
      </c>
      <c r="D12" s="0" t="n">
        <v>0</v>
      </c>
      <c r="E12" s="0" t="n">
        <v>0.0548</v>
      </c>
      <c r="F12" s="0" t="n">
        <v>0.191</v>
      </c>
      <c r="G12" s="0" t="n">
        <v>19.1</v>
      </c>
      <c r="H12" s="0" t="n">
        <v>3013</v>
      </c>
      <c r="I12" s="0" t="s">
        <v>19</v>
      </c>
      <c r="J12" s="0" t="n">
        <f aca="false">D12*F12</f>
        <v>0</v>
      </c>
      <c r="K12" s="0" t="n">
        <v>0</v>
      </c>
      <c r="L12" s="0" t="n">
        <v>0</v>
      </c>
    </row>
    <row r="13" customFormat="false" ht="15" hidden="false" customHeight="false" outlineLevel="0" collapsed="false">
      <c r="A13" s="0" t="s">
        <v>12</v>
      </c>
      <c r="B13" s="0" t="s">
        <v>29</v>
      </c>
      <c r="C13" s="0" t="s">
        <v>30</v>
      </c>
      <c r="D13" s="0" t="n">
        <v>100</v>
      </c>
      <c r="E13" s="0" t="n">
        <v>0</v>
      </c>
      <c r="F13" s="0" t="n">
        <v>0.491</v>
      </c>
      <c r="G13" s="0" t="n">
        <v>49.1</v>
      </c>
      <c r="H13" s="0" t="n">
        <v>2</v>
      </c>
      <c r="I13" s="0" t="s">
        <v>15</v>
      </c>
      <c r="J13" s="0" t="n">
        <f aca="false">D13*F13</f>
        <v>49.1</v>
      </c>
      <c r="K13" s="0" t="n">
        <v>0</v>
      </c>
      <c r="L13" s="0" t="n">
        <v>49.1</v>
      </c>
    </row>
    <row r="14" customFormat="false" ht="15" hidden="false" customHeight="false" outlineLevel="0" collapsed="false">
      <c r="A14" s="0" t="s">
        <v>12</v>
      </c>
      <c r="B14" s="0" t="s">
        <v>29</v>
      </c>
      <c r="C14" s="0" t="s">
        <v>31</v>
      </c>
      <c r="D14" s="0" t="n">
        <v>67</v>
      </c>
      <c r="E14" s="0" t="n">
        <v>0.0357</v>
      </c>
      <c r="F14" s="0" t="n">
        <v>0.491</v>
      </c>
      <c r="G14" s="0" t="n">
        <v>49.1</v>
      </c>
      <c r="H14" s="0" t="n">
        <v>1763</v>
      </c>
      <c r="I14" s="0" t="s">
        <v>17</v>
      </c>
      <c r="J14" s="0" t="n">
        <f aca="false">D14*F14</f>
        <v>32.897</v>
      </c>
      <c r="K14" s="0" t="n">
        <v>32.897</v>
      </c>
      <c r="L14" s="0" t="n">
        <v>0</v>
      </c>
    </row>
    <row r="15" customFormat="false" ht="15" hidden="false" customHeight="false" outlineLevel="0" collapsed="false">
      <c r="A15" s="0" t="s">
        <v>12</v>
      </c>
      <c r="B15" s="0" t="s">
        <v>29</v>
      </c>
      <c r="C15" s="0" t="s">
        <v>32</v>
      </c>
      <c r="D15" s="0" t="n">
        <v>33</v>
      </c>
      <c r="E15" s="0" t="n">
        <v>0.0455</v>
      </c>
      <c r="F15" s="0" t="n">
        <v>0.491</v>
      </c>
      <c r="G15" s="0" t="n">
        <v>49.1</v>
      </c>
      <c r="H15" s="0" t="n">
        <v>22</v>
      </c>
      <c r="I15" s="0" t="s">
        <v>19</v>
      </c>
      <c r="J15" s="0" t="n">
        <f aca="false">D15*F15</f>
        <v>16.203</v>
      </c>
      <c r="K15" s="0" t="n">
        <v>0</v>
      </c>
      <c r="L15" s="0" t="n">
        <v>0</v>
      </c>
    </row>
    <row r="16" customFormat="false" ht="15" hidden="false" customHeight="false" outlineLevel="0" collapsed="false">
      <c r="A16" s="0" t="s">
        <v>12</v>
      </c>
      <c r="B16" s="0" t="s">
        <v>29</v>
      </c>
      <c r="C16" s="0" t="s">
        <v>33</v>
      </c>
      <c r="D16" s="0" t="n">
        <v>0</v>
      </c>
      <c r="E16" s="0" t="n">
        <v>0.0491</v>
      </c>
      <c r="F16" s="0" t="n">
        <v>0.491</v>
      </c>
      <c r="G16" s="0" t="n">
        <v>49.1</v>
      </c>
      <c r="H16" s="0" t="n">
        <v>12764</v>
      </c>
      <c r="I16" s="0" t="s">
        <v>19</v>
      </c>
      <c r="J16" s="0" t="n">
        <f aca="false">D16*F16</f>
        <v>0</v>
      </c>
      <c r="K16" s="0" t="n">
        <v>0</v>
      </c>
      <c r="L16" s="0" t="n">
        <v>0</v>
      </c>
    </row>
    <row r="17" customFormat="false" ht="15" hidden="false" customHeight="false" outlineLevel="0" collapsed="false">
      <c r="A17" s="0" t="s">
        <v>12</v>
      </c>
      <c r="B17" s="0" t="s">
        <v>34</v>
      </c>
      <c r="C17" s="0" t="s">
        <v>35</v>
      </c>
      <c r="D17" s="0" t="n">
        <v>100</v>
      </c>
      <c r="E17" s="0" t="n">
        <v>0.0203</v>
      </c>
      <c r="F17" s="0" t="n">
        <v>0.617</v>
      </c>
      <c r="G17" s="0" t="n">
        <v>61.7</v>
      </c>
      <c r="H17" s="0" t="n">
        <v>1770</v>
      </c>
      <c r="I17" s="0" t="s">
        <v>15</v>
      </c>
      <c r="J17" s="0" t="n">
        <f aca="false">D17*F17</f>
        <v>61.7</v>
      </c>
      <c r="K17" s="0" t="n">
        <v>0</v>
      </c>
      <c r="L17" s="0" t="n">
        <v>61.7</v>
      </c>
    </row>
    <row r="18" customFormat="false" ht="15" hidden="false" customHeight="false" outlineLevel="0" collapsed="false">
      <c r="A18" s="0" t="s">
        <v>12</v>
      </c>
      <c r="B18" s="0" t="s">
        <v>34</v>
      </c>
      <c r="C18" s="0" t="s">
        <v>36</v>
      </c>
      <c r="D18" s="0" t="n">
        <v>67</v>
      </c>
      <c r="E18" s="0" t="n">
        <v>0.0379</v>
      </c>
      <c r="F18" s="0" t="n">
        <v>0.617</v>
      </c>
      <c r="G18" s="0" t="n">
        <v>61.7</v>
      </c>
      <c r="H18" s="0" t="n">
        <v>7314</v>
      </c>
      <c r="I18" s="0" t="s">
        <v>17</v>
      </c>
      <c r="J18" s="0" t="n">
        <f aca="false">D18*F18</f>
        <v>41.339</v>
      </c>
      <c r="K18" s="0" t="n">
        <v>0</v>
      </c>
      <c r="L18" s="0" t="n">
        <v>0</v>
      </c>
    </row>
    <row r="19" customFormat="false" ht="15" hidden="false" customHeight="false" outlineLevel="0" collapsed="false">
      <c r="A19" s="0" t="s">
        <v>12</v>
      </c>
      <c r="B19" s="0" t="s">
        <v>34</v>
      </c>
      <c r="C19" s="0" t="s">
        <v>37</v>
      </c>
      <c r="D19" s="0" t="n">
        <v>33</v>
      </c>
      <c r="E19" s="0" t="n">
        <v>0.0456</v>
      </c>
      <c r="F19" s="0" t="n">
        <v>0.617</v>
      </c>
      <c r="G19" s="0" t="n">
        <v>61.7</v>
      </c>
      <c r="H19" s="0" t="n">
        <v>1929</v>
      </c>
      <c r="I19" s="0" t="s">
        <v>19</v>
      </c>
      <c r="J19" s="0" t="n">
        <f aca="false">D19*F19</f>
        <v>20.361</v>
      </c>
      <c r="K19" s="0" t="n">
        <v>20.361</v>
      </c>
      <c r="L19" s="0" t="n">
        <v>0</v>
      </c>
    </row>
    <row r="20" customFormat="false" ht="15" hidden="false" customHeight="false" outlineLevel="0" collapsed="false">
      <c r="A20" s="0" t="s">
        <v>12</v>
      </c>
      <c r="B20" s="0" t="s">
        <v>34</v>
      </c>
      <c r="C20" s="0" t="s">
        <v>38</v>
      </c>
      <c r="D20" s="0" t="n">
        <v>0</v>
      </c>
      <c r="E20" s="0" t="n">
        <v>0.082</v>
      </c>
      <c r="F20" s="0" t="n">
        <v>0.617</v>
      </c>
      <c r="G20" s="0" t="n">
        <v>61.7</v>
      </c>
      <c r="H20" s="0" t="n">
        <v>3538</v>
      </c>
      <c r="I20" s="0" t="s">
        <v>19</v>
      </c>
      <c r="J20" s="0" t="n">
        <f aca="false">D20*F20</f>
        <v>0</v>
      </c>
      <c r="K20" s="0" t="n">
        <v>0</v>
      </c>
      <c r="L20" s="0" t="n">
        <v>0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0" t="s">
        <v>41</v>
      </c>
      <c r="D21" s="0" t="n">
        <v>100</v>
      </c>
      <c r="E21" s="0" t="n">
        <v>0.0394</v>
      </c>
      <c r="F21" s="0" t="n">
        <v>0.338</v>
      </c>
      <c r="G21" s="0" t="n">
        <v>33.8</v>
      </c>
      <c r="H21" s="0" t="n">
        <v>2058</v>
      </c>
      <c r="I21" s="0" t="s">
        <v>15</v>
      </c>
      <c r="J21" s="0" t="n">
        <f aca="false">D21*F21</f>
        <v>33.8</v>
      </c>
      <c r="K21" s="0" t="n">
        <v>33.8</v>
      </c>
      <c r="L21" s="0" t="n">
        <v>33.8</v>
      </c>
    </row>
    <row r="22" customFormat="false" ht="15" hidden="false" customHeight="false" outlineLevel="0" collapsed="false">
      <c r="A22" s="0" t="s">
        <v>39</v>
      </c>
      <c r="B22" s="0" t="s">
        <v>40</v>
      </c>
      <c r="C22" s="0" t="s">
        <v>42</v>
      </c>
      <c r="D22" s="0" t="n">
        <v>67</v>
      </c>
      <c r="E22" s="0" t="n">
        <v>0.0484</v>
      </c>
      <c r="F22" s="0" t="n">
        <v>0.338</v>
      </c>
      <c r="G22" s="0" t="n">
        <v>33.8</v>
      </c>
      <c r="H22" s="0" t="n">
        <v>12002</v>
      </c>
      <c r="I22" s="0" t="s">
        <v>17</v>
      </c>
      <c r="J22" s="0" t="n">
        <f aca="false">D22*F22</f>
        <v>22.646</v>
      </c>
      <c r="K22" s="0" t="n">
        <v>0</v>
      </c>
      <c r="L22" s="0" t="n">
        <v>0</v>
      </c>
    </row>
    <row r="23" customFormat="false" ht="15" hidden="false" customHeight="false" outlineLevel="0" collapsed="false">
      <c r="A23" s="0" t="s">
        <v>39</v>
      </c>
      <c r="B23" s="0" t="s">
        <v>40</v>
      </c>
      <c r="C23" s="0" t="s">
        <v>43</v>
      </c>
      <c r="D23" s="0" t="n">
        <v>33</v>
      </c>
      <c r="E23" s="0" t="n">
        <v>0.049</v>
      </c>
      <c r="F23" s="0" t="n">
        <v>0.338</v>
      </c>
      <c r="G23" s="0" t="n">
        <v>33.8</v>
      </c>
      <c r="H23" s="0" t="n">
        <v>286</v>
      </c>
      <c r="I23" s="0" t="s">
        <v>19</v>
      </c>
      <c r="J23" s="0" t="n">
        <f aca="false">D23*F23</f>
        <v>11.154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0" t="s">
        <v>39</v>
      </c>
      <c r="B24" s="0" t="s">
        <v>40</v>
      </c>
      <c r="C24" s="0" t="s">
        <v>44</v>
      </c>
      <c r="D24" s="0" t="n">
        <v>0</v>
      </c>
      <c r="E24" s="0" t="n">
        <v>0.0732</v>
      </c>
      <c r="F24" s="0" t="n">
        <v>0.338</v>
      </c>
      <c r="G24" s="0" t="n">
        <v>33.8</v>
      </c>
      <c r="H24" s="0" t="n">
        <v>205</v>
      </c>
      <c r="I24" s="0" t="s">
        <v>19</v>
      </c>
      <c r="J24" s="0" t="n">
        <f aca="false">D24*F24</f>
        <v>0</v>
      </c>
      <c r="K24" s="0" t="n">
        <v>0</v>
      </c>
      <c r="L24" s="0" t="n">
        <v>0</v>
      </c>
    </row>
    <row r="25" customFormat="false" ht="15" hidden="false" customHeight="false" outlineLevel="0" collapsed="false">
      <c r="A25" s="0" t="s">
        <v>45</v>
      </c>
      <c r="B25" s="0" t="s">
        <v>46</v>
      </c>
      <c r="C25" s="0" t="s">
        <v>47</v>
      </c>
      <c r="D25" s="0" t="n">
        <v>100</v>
      </c>
      <c r="E25" s="0" t="n">
        <v>0.0352</v>
      </c>
      <c r="F25" s="0" t="n">
        <v>0.169</v>
      </c>
      <c r="G25" s="0" t="n">
        <v>16.9</v>
      </c>
      <c r="H25" s="0" t="n">
        <v>2299</v>
      </c>
      <c r="I25" s="0" t="s">
        <v>15</v>
      </c>
      <c r="J25" s="0" t="n">
        <f aca="false">D25*F25</f>
        <v>16.9</v>
      </c>
      <c r="K25" s="0" t="n">
        <v>16.9</v>
      </c>
      <c r="L25" s="0" t="n">
        <v>16.9</v>
      </c>
    </row>
    <row r="26" customFormat="false" ht="15" hidden="false" customHeight="false" outlineLevel="0" collapsed="false">
      <c r="A26" s="0" t="s">
        <v>45</v>
      </c>
      <c r="B26" s="0" t="s">
        <v>46</v>
      </c>
      <c r="C26" s="0" t="s">
        <v>48</v>
      </c>
      <c r="D26" s="0" t="n">
        <v>50</v>
      </c>
      <c r="E26" s="0" t="n">
        <v>0.0477</v>
      </c>
      <c r="F26" s="0" t="n">
        <v>0.169</v>
      </c>
      <c r="G26" s="0" t="n">
        <v>16.9</v>
      </c>
      <c r="H26" s="0" t="n">
        <v>6336</v>
      </c>
      <c r="I26" s="0" t="s">
        <v>17</v>
      </c>
      <c r="J26" s="0" t="n">
        <f aca="false">D26*F26</f>
        <v>8.45</v>
      </c>
      <c r="K26" s="0" t="n">
        <v>0</v>
      </c>
      <c r="L26" s="0" t="n">
        <v>0</v>
      </c>
    </row>
    <row r="27" customFormat="false" ht="15" hidden="false" customHeight="false" outlineLevel="0" collapsed="false">
      <c r="A27" s="0" t="s">
        <v>45</v>
      </c>
      <c r="B27" s="0" t="s">
        <v>46</v>
      </c>
      <c r="C27" s="0" t="s">
        <v>49</v>
      </c>
      <c r="D27" s="0" t="n">
        <v>0</v>
      </c>
      <c r="E27" s="0" t="n">
        <v>0.0521</v>
      </c>
      <c r="F27" s="0" t="n">
        <v>0.169</v>
      </c>
      <c r="G27" s="0" t="n">
        <v>16.9</v>
      </c>
      <c r="H27" s="0" t="n">
        <v>5916</v>
      </c>
      <c r="I27" s="0" t="s">
        <v>19</v>
      </c>
      <c r="J27" s="0" t="n">
        <f aca="false">D27*F27</f>
        <v>0</v>
      </c>
      <c r="K27" s="0" t="n">
        <v>0</v>
      </c>
      <c r="L27" s="0" t="n">
        <v>0</v>
      </c>
    </row>
    <row r="28" customFormat="false" ht="15" hidden="false" customHeight="false" outlineLevel="0" collapsed="false">
      <c r="A28" s="0" t="s">
        <v>45</v>
      </c>
      <c r="B28" s="0" t="s">
        <v>50</v>
      </c>
      <c r="C28" s="0" t="s">
        <v>51</v>
      </c>
      <c r="D28" s="0" t="n">
        <v>100</v>
      </c>
      <c r="E28" s="0" t="n">
        <v>0.0103</v>
      </c>
      <c r="F28" s="0" t="n">
        <v>0.442</v>
      </c>
      <c r="G28" s="0" t="n">
        <v>44.2</v>
      </c>
      <c r="H28" s="0" t="n">
        <v>97</v>
      </c>
      <c r="I28" s="0" t="s">
        <v>15</v>
      </c>
      <c r="J28" s="0" t="n">
        <f aca="false">D28*F28</f>
        <v>44.2</v>
      </c>
      <c r="K28" s="0" t="n">
        <v>0</v>
      </c>
      <c r="L28" s="0" t="n">
        <v>44.2</v>
      </c>
    </row>
    <row r="29" customFormat="false" ht="15" hidden="false" customHeight="false" outlineLevel="0" collapsed="false">
      <c r="A29" s="0" t="s">
        <v>45</v>
      </c>
      <c r="B29" s="0" t="s">
        <v>50</v>
      </c>
      <c r="C29" s="0" t="s">
        <v>52</v>
      </c>
      <c r="D29" s="0" t="n">
        <v>67</v>
      </c>
      <c r="E29" s="0" t="n">
        <v>0.0373</v>
      </c>
      <c r="F29" s="0" t="n">
        <v>0.442</v>
      </c>
      <c r="G29" s="0" t="n">
        <v>44.2</v>
      </c>
      <c r="H29" s="0" t="n">
        <v>2523</v>
      </c>
      <c r="I29" s="0" t="s">
        <v>17</v>
      </c>
      <c r="J29" s="0" t="n">
        <f aca="false">D29*F29</f>
        <v>29.614</v>
      </c>
      <c r="K29" s="0" t="n">
        <v>29.614</v>
      </c>
      <c r="L29" s="0" t="n">
        <v>0</v>
      </c>
    </row>
    <row r="30" customFormat="false" ht="15" hidden="false" customHeight="false" outlineLevel="0" collapsed="false">
      <c r="A30" s="0" t="s">
        <v>45</v>
      </c>
      <c r="B30" s="0" t="s">
        <v>50</v>
      </c>
      <c r="C30" s="0" t="s">
        <v>53</v>
      </c>
      <c r="D30" s="0" t="n">
        <v>33</v>
      </c>
      <c r="E30" s="0" t="n">
        <v>0.0472</v>
      </c>
      <c r="F30" s="0" t="n">
        <v>0.442</v>
      </c>
      <c r="G30" s="0" t="n">
        <v>44.2</v>
      </c>
      <c r="H30" s="0" t="n">
        <v>7416</v>
      </c>
      <c r="I30" s="0" t="s">
        <v>19</v>
      </c>
      <c r="J30" s="0" t="n">
        <f aca="false">D30*F30</f>
        <v>14.586</v>
      </c>
      <c r="K30" s="0" t="n">
        <v>0</v>
      </c>
      <c r="L30" s="0" t="n">
        <v>0</v>
      </c>
    </row>
    <row r="31" customFormat="false" ht="15" hidden="false" customHeight="false" outlineLevel="0" collapsed="false">
      <c r="A31" s="0" t="s">
        <v>45</v>
      </c>
      <c r="B31" s="0" t="s">
        <v>50</v>
      </c>
      <c r="C31" s="0" t="s">
        <v>54</v>
      </c>
      <c r="D31" s="0" t="n">
        <v>0</v>
      </c>
      <c r="E31" s="0" t="n">
        <v>0.0545</v>
      </c>
      <c r="F31" s="0" t="n">
        <v>0.442</v>
      </c>
      <c r="G31" s="0" t="n">
        <v>44.2</v>
      </c>
      <c r="H31" s="0" t="n">
        <v>4515</v>
      </c>
      <c r="I31" s="0" t="s">
        <v>19</v>
      </c>
      <c r="J31" s="0" t="n">
        <f aca="false">D31*F31</f>
        <v>0</v>
      </c>
      <c r="K31" s="0" t="n">
        <v>0</v>
      </c>
      <c r="L31" s="0" t="n">
        <v>0</v>
      </c>
    </row>
    <row r="32" customFormat="false" ht="15" hidden="false" customHeight="false" outlineLevel="0" collapsed="false">
      <c r="K32" s="0" t="n">
        <f aca="false">SUM(K2:K31)</f>
        <v>187.972</v>
      </c>
      <c r="L32" s="0" t="n">
        <f aca="false">SUM(L2:L31)</f>
        <v>260.1</v>
      </c>
      <c r="M32" s="0" t="n">
        <f aca="false">(K32/L32)*100</f>
        <v>72.2691272587466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A2:D4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0.61"/>
    <col collapsed="false" customWidth="true" hidden="false" outlineLevel="0" max="2" min="2" style="0" width="19.52"/>
    <col collapsed="false" customWidth="true" hidden="false" outlineLevel="0" max="3" min="3" style="0" width="15.06"/>
    <col collapsed="false" customWidth="true" hidden="false" outlineLevel="0" max="4" min="4" style="0" width="16.59"/>
    <col collapsed="false" customWidth="true" hidden="false" outlineLevel="0" max="5" min="5" style="0" width="17.01"/>
    <col collapsed="false" customWidth="true" hidden="false" outlineLevel="0" max="6" min="6" style="0" width="17.29"/>
    <col collapsed="false" customWidth="true" hidden="false" outlineLevel="0" max="7" min="7" style="0" width="22.3"/>
    <col collapsed="false" customWidth="true" hidden="false" outlineLevel="0" max="8" min="8" style="0" width="17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0.151</v>
      </c>
      <c r="D2" s="0" t="n">
        <v>100</v>
      </c>
      <c r="E2" s="0" t="n">
        <v>0</v>
      </c>
      <c r="F2" s="0" t="n">
        <v>100</v>
      </c>
      <c r="G2" s="0" t="n">
        <v>15.1</v>
      </c>
      <c r="H2" s="0" t="n">
        <v>3</v>
      </c>
    </row>
    <row r="3" customFormat="false" ht="15" hidden="false" customHeight="false" outlineLevel="0" collapsed="false">
      <c r="A3" s="0" t="s">
        <v>12</v>
      </c>
      <c r="B3" s="0" t="s">
        <v>20</v>
      </c>
      <c r="C3" s="0" t="n">
        <v>0.202</v>
      </c>
      <c r="D3" s="0" t="n">
        <v>100</v>
      </c>
      <c r="E3" s="0" t="n">
        <v>0</v>
      </c>
      <c r="F3" s="0" t="n">
        <v>100</v>
      </c>
      <c r="G3" s="0" t="n">
        <v>20.2</v>
      </c>
      <c r="H3" s="0" t="n">
        <v>4</v>
      </c>
    </row>
    <row r="4" customFormat="false" ht="15" hidden="false" customHeight="false" outlineLevel="0" collapsed="false">
      <c r="A4" s="0" t="s">
        <v>12</v>
      </c>
      <c r="B4" s="0" t="s">
        <v>25</v>
      </c>
      <c r="C4" s="0" t="n">
        <v>0.191</v>
      </c>
      <c r="D4" s="0" t="n">
        <v>100</v>
      </c>
      <c r="E4" s="0" t="n">
        <v>0</v>
      </c>
      <c r="F4" s="0" t="n">
        <v>100</v>
      </c>
      <c r="G4" s="0" t="n">
        <v>19.1</v>
      </c>
      <c r="H4" s="0" t="n">
        <v>4</v>
      </c>
    </row>
    <row r="5" customFormat="false" ht="15" hidden="false" customHeight="false" outlineLevel="0" collapsed="false">
      <c r="A5" s="0" t="s">
        <v>12</v>
      </c>
      <c r="B5" s="0" t="s">
        <v>29</v>
      </c>
      <c r="C5" s="0" t="n">
        <v>0.491</v>
      </c>
      <c r="D5" s="0" t="n">
        <v>100</v>
      </c>
      <c r="E5" s="0" t="n">
        <v>0</v>
      </c>
      <c r="F5" s="0" t="n">
        <v>100</v>
      </c>
      <c r="G5" s="0" t="n">
        <v>49.1</v>
      </c>
      <c r="H5" s="0" t="n">
        <v>4</v>
      </c>
    </row>
    <row r="6" customFormat="false" ht="15" hidden="false" customHeight="false" outlineLevel="0" collapsed="false">
      <c r="A6" s="0" t="s">
        <v>12</v>
      </c>
      <c r="B6" s="0" t="s">
        <v>34</v>
      </c>
      <c r="C6" s="0" t="n">
        <v>0.617</v>
      </c>
      <c r="D6" s="0" t="n">
        <v>100</v>
      </c>
      <c r="E6" s="0" t="n">
        <v>0</v>
      </c>
      <c r="F6" s="0" t="n">
        <v>100</v>
      </c>
      <c r="G6" s="0" t="n">
        <v>61.7</v>
      </c>
      <c r="H6" s="0" t="n">
        <v>4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n">
        <v>0.338</v>
      </c>
      <c r="D7" s="0" t="n">
        <v>100</v>
      </c>
      <c r="E7" s="0" t="n">
        <v>0</v>
      </c>
      <c r="F7" s="0" t="n">
        <v>100</v>
      </c>
      <c r="G7" s="0" t="n">
        <v>33.8</v>
      </c>
      <c r="H7" s="0" t="n">
        <v>4</v>
      </c>
    </row>
    <row r="8" customFormat="false" ht="15" hidden="false" customHeight="false" outlineLevel="0" collapsed="false">
      <c r="A8" s="0" t="s">
        <v>45</v>
      </c>
      <c r="B8" s="0" t="s">
        <v>46</v>
      </c>
      <c r="C8" s="0" t="n">
        <v>0.169</v>
      </c>
      <c r="D8" s="0" t="n">
        <v>100</v>
      </c>
      <c r="E8" s="0" t="n">
        <v>0</v>
      </c>
      <c r="F8" s="0" t="n">
        <v>100</v>
      </c>
      <c r="G8" s="0" t="n">
        <v>16.9</v>
      </c>
      <c r="H8" s="0" t="n">
        <v>3</v>
      </c>
    </row>
    <row r="9" customFormat="false" ht="15" hidden="false" customHeight="false" outlineLevel="0" collapsed="false">
      <c r="A9" s="0" t="s">
        <v>45</v>
      </c>
      <c r="B9" s="0" t="s">
        <v>50</v>
      </c>
      <c r="C9" s="0" t="n">
        <v>0.442</v>
      </c>
      <c r="D9" s="0" t="n">
        <v>100</v>
      </c>
      <c r="E9" s="0" t="n">
        <v>0</v>
      </c>
      <c r="F9" s="0" t="n">
        <v>100</v>
      </c>
      <c r="G9" s="0" t="n">
        <v>44.2</v>
      </c>
      <c r="H9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1" sqref="A2:D4 E13"/>
    </sheetView>
  </sheetViews>
  <sheetFormatPr defaultColWidth="22.94921875" defaultRowHeight="15" zeroHeight="false" outlineLevelRow="0" outlineLevelCol="0"/>
  <cols>
    <col collapsed="false" customWidth="true" hidden="false" outlineLevel="0" max="2" min="2" style="0" width="46.61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60</v>
      </c>
      <c r="D1" s="1" t="s">
        <v>0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n">
        <v>100</v>
      </c>
      <c r="D2" s="0" t="s">
        <v>12</v>
      </c>
    </row>
    <row r="3" customFormat="false" ht="15" hidden="false" customHeight="false" outlineLevel="0" collapsed="false">
      <c r="A3" s="0" t="s">
        <v>13</v>
      </c>
      <c r="B3" s="0" t="s">
        <v>16</v>
      </c>
      <c r="C3" s="0" t="n">
        <v>50</v>
      </c>
      <c r="D3" s="0" t="s">
        <v>12</v>
      </c>
    </row>
    <row r="4" customFormat="false" ht="15" hidden="false" customHeight="false" outlineLevel="0" collapsed="false">
      <c r="A4" s="0" t="s">
        <v>13</v>
      </c>
      <c r="B4" s="0" t="s">
        <v>18</v>
      </c>
      <c r="C4" s="0" t="n">
        <v>0</v>
      </c>
      <c r="D4" s="0" t="s">
        <v>12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n">
        <v>100</v>
      </c>
      <c r="D5" s="0" t="s">
        <v>12</v>
      </c>
    </row>
    <row r="6" customFormat="false" ht="15" hidden="false" customHeight="false" outlineLevel="0" collapsed="false">
      <c r="A6" s="0" t="s">
        <v>20</v>
      </c>
      <c r="B6" s="0" t="s">
        <v>22</v>
      </c>
      <c r="C6" s="0" t="n">
        <v>67</v>
      </c>
      <c r="D6" s="0" t="s">
        <v>12</v>
      </c>
    </row>
    <row r="7" customFormat="false" ht="15" hidden="false" customHeight="false" outlineLevel="0" collapsed="false">
      <c r="A7" s="0" t="s">
        <v>20</v>
      </c>
      <c r="B7" s="0" t="s">
        <v>23</v>
      </c>
      <c r="C7" s="0" t="n">
        <v>33</v>
      </c>
      <c r="D7" s="0" t="s">
        <v>12</v>
      </c>
    </row>
    <row r="8" customFormat="false" ht="15" hidden="false" customHeight="false" outlineLevel="0" collapsed="false">
      <c r="A8" s="0" t="s">
        <v>20</v>
      </c>
      <c r="B8" s="0" t="s">
        <v>24</v>
      </c>
      <c r="C8" s="0" t="n">
        <v>0</v>
      </c>
      <c r="D8" s="0" t="s">
        <v>12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n">
        <v>100</v>
      </c>
      <c r="D9" s="0" t="s">
        <v>12</v>
      </c>
    </row>
    <row r="10" customFormat="false" ht="15" hidden="false" customHeight="false" outlineLevel="0" collapsed="false">
      <c r="A10" s="0" t="s">
        <v>25</v>
      </c>
      <c r="B10" s="0" t="s">
        <v>22</v>
      </c>
      <c r="C10" s="0" t="n">
        <v>67</v>
      </c>
      <c r="D10" s="0" t="s">
        <v>12</v>
      </c>
    </row>
    <row r="11" customFormat="false" ht="15" hidden="false" customHeight="false" outlineLevel="0" collapsed="false">
      <c r="A11" s="0" t="s">
        <v>25</v>
      </c>
      <c r="B11" s="0" t="s">
        <v>27</v>
      </c>
      <c r="C11" s="0" t="n">
        <v>33</v>
      </c>
      <c r="D11" s="0" t="s">
        <v>12</v>
      </c>
    </row>
    <row r="12" customFormat="false" ht="15" hidden="false" customHeight="false" outlineLevel="0" collapsed="false">
      <c r="A12" s="0" t="s">
        <v>25</v>
      </c>
      <c r="B12" s="0" t="s">
        <v>28</v>
      </c>
      <c r="C12" s="0" t="n">
        <v>0</v>
      </c>
      <c r="D12" s="0" t="s">
        <v>12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n">
        <v>100</v>
      </c>
      <c r="D13" s="0" t="s">
        <v>12</v>
      </c>
    </row>
    <row r="14" customFormat="false" ht="15" hidden="false" customHeight="false" outlineLevel="0" collapsed="false">
      <c r="A14" s="0" t="s">
        <v>29</v>
      </c>
      <c r="B14" s="0" t="s">
        <v>31</v>
      </c>
      <c r="C14" s="0" t="n">
        <v>67</v>
      </c>
      <c r="D14" s="0" t="s">
        <v>12</v>
      </c>
    </row>
    <row r="15" customFormat="false" ht="15" hidden="false" customHeight="false" outlineLevel="0" collapsed="false">
      <c r="A15" s="0" t="s">
        <v>29</v>
      </c>
      <c r="B15" s="0" t="s">
        <v>32</v>
      </c>
      <c r="C15" s="0" t="n">
        <v>33</v>
      </c>
      <c r="D15" s="0" t="s">
        <v>12</v>
      </c>
    </row>
    <row r="16" customFormat="false" ht="15" hidden="false" customHeight="false" outlineLevel="0" collapsed="false">
      <c r="A16" s="0" t="s">
        <v>29</v>
      </c>
      <c r="B16" s="0" t="s">
        <v>33</v>
      </c>
      <c r="C16" s="0" t="n">
        <v>0</v>
      </c>
      <c r="D16" s="0" t="s">
        <v>12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n">
        <v>100</v>
      </c>
      <c r="D17" s="0" t="s">
        <v>12</v>
      </c>
    </row>
    <row r="18" customFormat="false" ht="15" hidden="false" customHeight="false" outlineLevel="0" collapsed="false">
      <c r="A18" s="0" t="s">
        <v>34</v>
      </c>
      <c r="B18" s="0" t="s">
        <v>36</v>
      </c>
      <c r="C18" s="0" t="n">
        <v>67</v>
      </c>
      <c r="D18" s="0" t="s">
        <v>12</v>
      </c>
    </row>
    <row r="19" customFormat="false" ht="15" hidden="false" customHeight="false" outlineLevel="0" collapsed="false">
      <c r="A19" s="0" t="s">
        <v>34</v>
      </c>
      <c r="B19" s="0" t="s">
        <v>37</v>
      </c>
      <c r="C19" s="0" t="n">
        <v>33</v>
      </c>
      <c r="D19" s="0" t="s">
        <v>12</v>
      </c>
    </row>
    <row r="20" customFormat="false" ht="15" hidden="false" customHeight="false" outlineLevel="0" collapsed="false">
      <c r="A20" s="0" t="s">
        <v>34</v>
      </c>
      <c r="B20" s="0" t="s">
        <v>38</v>
      </c>
      <c r="C20" s="0" t="n">
        <v>0</v>
      </c>
      <c r="D20" s="0" t="s">
        <v>12</v>
      </c>
    </row>
    <row r="21" customFormat="false" ht="15" hidden="false" customHeight="false" outlineLevel="0" collapsed="false">
      <c r="A21" s="0" t="s">
        <v>40</v>
      </c>
      <c r="B21" s="0" t="s">
        <v>41</v>
      </c>
      <c r="C21" s="0" t="n">
        <v>100</v>
      </c>
      <c r="D21" s="0" t="s">
        <v>39</v>
      </c>
    </row>
    <row r="22" customFormat="false" ht="15" hidden="false" customHeight="false" outlineLevel="0" collapsed="false">
      <c r="A22" s="0" t="s">
        <v>40</v>
      </c>
      <c r="B22" s="0" t="s">
        <v>42</v>
      </c>
      <c r="C22" s="0" t="n">
        <v>67</v>
      </c>
      <c r="D22" s="0" t="s">
        <v>39</v>
      </c>
    </row>
    <row r="23" customFormat="false" ht="15" hidden="false" customHeight="false" outlineLevel="0" collapsed="false">
      <c r="A23" s="0" t="s">
        <v>40</v>
      </c>
      <c r="B23" s="0" t="s">
        <v>43</v>
      </c>
      <c r="C23" s="0" t="n">
        <v>33</v>
      </c>
      <c r="D23" s="0" t="s">
        <v>39</v>
      </c>
    </row>
    <row r="24" customFormat="false" ht="15" hidden="false" customHeight="false" outlineLevel="0" collapsed="false">
      <c r="A24" s="0" t="s">
        <v>40</v>
      </c>
      <c r="B24" s="0" t="s">
        <v>44</v>
      </c>
      <c r="C24" s="0" t="n">
        <v>0</v>
      </c>
      <c r="D24" s="0" t="s">
        <v>39</v>
      </c>
    </row>
    <row r="25" customFormat="false" ht="15" hidden="false" customHeight="false" outlineLevel="0" collapsed="false">
      <c r="A25" s="0" t="s">
        <v>46</v>
      </c>
      <c r="B25" s="0" t="s">
        <v>47</v>
      </c>
      <c r="C25" s="0" t="n">
        <v>100</v>
      </c>
      <c r="D25" s="0" t="s">
        <v>45</v>
      </c>
    </row>
    <row r="26" customFormat="false" ht="15" hidden="false" customHeight="false" outlineLevel="0" collapsed="false">
      <c r="A26" s="0" t="s">
        <v>46</v>
      </c>
      <c r="B26" s="0" t="s">
        <v>48</v>
      </c>
      <c r="C26" s="0" t="n">
        <v>50</v>
      </c>
      <c r="D26" s="0" t="s">
        <v>45</v>
      </c>
    </row>
    <row r="27" customFormat="false" ht="15" hidden="false" customHeight="false" outlineLevel="0" collapsed="false">
      <c r="A27" s="0" t="s">
        <v>46</v>
      </c>
      <c r="B27" s="0" t="s">
        <v>49</v>
      </c>
      <c r="C27" s="0" t="n">
        <v>0</v>
      </c>
      <c r="D27" s="0" t="s">
        <v>45</v>
      </c>
    </row>
    <row r="28" customFormat="false" ht="15" hidden="false" customHeight="false" outlineLevel="0" collapsed="false">
      <c r="A28" s="0" t="s">
        <v>50</v>
      </c>
      <c r="B28" s="0" t="s">
        <v>51</v>
      </c>
      <c r="C28" s="0" t="n">
        <v>100</v>
      </c>
      <c r="D28" s="0" t="s">
        <v>45</v>
      </c>
    </row>
    <row r="29" customFormat="false" ht="15" hidden="false" customHeight="false" outlineLevel="0" collapsed="false">
      <c r="A29" s="0" t="s">
        <v>50</v>
      </c>
      <c r="B29" s="0" t="s">
        <v>52</v>
      </c>
      <c r="C29" s="0" t="n">
        <v>67</v>
      </c>
      <c r="D29" s="0" t="s">
        <v>45</v>
      </c>
    </row>
    <row r="30" customFormat="false" ht="15" hidden="false" customHeight="false" outlineLevel="0" collapsed="false">
      <c r="A30" s="0" t="s">
        <v>50</v>
      </c>
      <c r="B30" s="0" t="s">
        <v>53</v>
      </c>
      <c r="C30" s="0" t="n">
        <v>33</v>
      </c>
      <c r="D30" s="0" t="s">
        <v>45</v>
      </c>
    </row>
    <row r="31" customFormat="false" ht="15" hidden="false" customHeight="false" outlineLevel="0" collapsed="false">
      <c r="A31" s="0" t="s">
        <v>50</v>
      </c>
      <c r="B31" s="0" t="s">
        <v>54</v>
      </c>
      <c r="C31" s="0" t="n">
        <v>0</v>
      </c>
      <c r="D31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2025-12-01T04:59:18Z</dcterms:created>
  <dc:creator>openpyxl</dc:creator>
  <dc:description/>
  <dc:language>es-MX</dc:language>
  <cp:lastModifiedBy/>
  <dcterms:modified xsi:type="dcterms:W3CDTF">2025-12-01T01:02:18Z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