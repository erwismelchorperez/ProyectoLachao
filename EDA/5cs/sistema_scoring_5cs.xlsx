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ntajes por Valor" sheetId="1" state="visible" r:id="rId3"/>
    <sheet name="Resumen Variables" sheetId="2" state="visible" r:id="rId4"/>
    <sheet name="Plantilla Cálcul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<sst xmlns="http://schemas.openxmlformats.org/spreadsheetml/2006/main" count="217" uniqueCount="55">
  <si>
    <t xml:space="preserve">Categoría</t>
  </si>
  <si>
    <t xml:space="preserve">Variable</t>
  </si>
  <si>
    <t xml:space="preserve">Valor</t>
  </si>
  <si>
    <t xml:space="preserve">Puntaje_Scoring</t>
  </si>
  <si>
    <t xml:space="preserve">Peso_Variable</t>
  </si>
  <si>
    <t xml:space="preserve">Contribución_Máxima</t>
  </si>
  <si>
    <t xml:space="preserve">PesoPonderados</t>
  </si>
  <si>
    <t xml:space="preserve">Ejemplo</t>
  </si>
  <si>
    <t xml:space="preserve">MaxPonderado</t>
  </si>
  <si>
    <t xml:space="preserve">Carácter</t>
  </si>
  <si>
    <t xml:space="preserve">reputaciÓn_localidad</t>
  </si>
  <si>
    <t xml:space="preserve">MALA</t>
  </si>
  <si>
    <t xml:space="preserve">BUENA</t>
  </si>
  <si>
    <t xml:space="preserve">MUY BUENA</t>
  </si>
  <si>
    <t xml:space="preserve">antigudad_domicilio</t>
  </si>
  <si>
    <t xml:space="preserve">MENOR DE 1 AÑO</t>
  </si>
  <si>
    <t xml:space="preserve">MAYOR DE 5 AÑOS</t>
  </si>
  <si>
    <t xml:space="preserve">DE 4 A 5 AÑOS</t>
  </si>
  <si>
    <t xml:space="preserve">DE 2 A 3 AÑOS</t>
  </si>
  <si>
    <t xml:space="preserve">antiguedad_actividad</t>
  </si>
  <si>
    <t xml:space="preserve">MENOR A 1 AÑO</t>
  </si>
  <si>
    <t xml:space="preserve">DE 1 A 3 AÑOS</t>
  </si>
  <si>
    <t xml:space="preserve">DE 3 A 5 AÑOS</t>
  </si>
  <si>
    <t xml:space="preserve">exp_cred_externa</t>
  </si>
  <si>
    <t xml:space="preserve">MOP DE 3 A 4</t>
  </si>
  <si>
    <t xml:space="preserve">MOP MAS DE 4</t>
  </si>
  <si>
    <t xml:space="preserve">MOP 2 A 3</t>
  </si>
  <si>
    <t xml:space="preserve">MOP 1</t>
  </si>
  <si>
    <t xml:space="preserve">exp_cred_interna</t>
  </si>
  <si>
    <t xml:space="preserve">PAGO PUNTUAL(CALIF. A)</t>
  </si>
  <si>
    <t xml:space="preserve">HASTA 5 ATRASOS MENORES DE 7 DIAS(CALIF. B)</t>
  </si>
  <si>
    <t xml:space="preserve">ATRASOS MAYORES A 15 DIAS (CALIF. D)</t>
  </si>
  <si>
    <t xml:space="preserve">HASTA 5 ATRASOS DE 8 A 15 DIAS (CALIF. C)</t>
  </si>
  <si>
    <t xml:space="preserve">Capacidad</t>
  </si>
  <si>
    <t xml:space="preserve">cap_pago</t>
  </si>
  <si>
    <t xml:space="preserve">MARGEN DEL 0% SOBRE SALDO DISPONIBLE NETO</t>
  </si>
  <si>
    <t xml:space="preserve">MARGEN DEL 30% SOBRE SALDO DISPONIBLE NETO</t>
  </si>
  <si>
    <t xml:space="preserve">MARGEN DEL 25% SOBRE SALDO DISPONIBLE NETO</t>
  </si>
  <si>
    <t xml:space="preserve">MARGEN DEL 10% SOBRE SALDO DISPONIBLE NETO</t>
  </si>
  <si>
    <t xml:space="preserve">Capital</t>
  </si>
  <si>
    <t xml:space="preserve">tipo_casa</t>
  </si>
  <si>
    <t xml:space="preserve">EL SOCIO CUENTA CON CASA RENTADA</t>
  </si>
  <si>
    <t xml:space="preserve">EL SOCIO CUENTA CON CASA FAMILIAR</t>
  </si>
  <si>
    <t xml:space="preserve">EL SOCIO CUENTA CON CASA PROPIA</t>
  </si>
  <si>
    <t xml:space="preserve">deudas</t>
  </si>
  <si>
    <t xml:space="preserve">DEUDAS  DEL 20 AL 30% DEL PATRIMONIO</t>
  </si>
  <si>
    <t xml:space="preserve">DEUDAS  DEL 30 AL 50% DEL PATRIMONIO</t>
  </si>
  <si>
    <t xml:space="preserve">DEUDAS DEL 1% AL 20% DEL PATRIMONIO</t>
  </si>
  <si>
    <t xml:space="preserve">SIN DEUDAS</t>
  </si>
  <si>
    <t xml:space="preserve">Rango_Puntajes</t>
  </si>
  <si>
    <t xml:space="preserve">Puntaje_Mínimo</t>
  </si>
  <si>
    <t xml:space="preserve">Puntaje_Máximo</t>
  </si>
  <si>
    <t xml:space="preserve">Poder_Discriminativo</t>
  </si>
  <si>
    <t xml:space="preserve">Número_Valores</t>
  </si>
  <si>
    <t xml:space="preserve">Puntaje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</si>
</sst>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19.19921875" defaultRowHeight="15" zeroHeight="false" outlineLevelRow="0" outlineLevelCol="0"/>
  <cols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/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70</v>
      </c>
      <c r="E2" s="1" t="n">
        <v>0.151</v>
      </c>
      <c r="F2" s="1" t="n">
        <v>15.1</v>
      </c>
      <c r="G2" s="1" t="n">
        <f aca="false">D2*E2</f>
        <v>10.57</v>
      </c>
      <c r="H2" s="1" t="n">
        <f aca="false">G2</f>
        <v>10.57</v>
      </c>
      <c r="I2" s="1" t="n">
        <f aca="false">G2</f>
        <v>10.57</v>
      </c>
      <c r="J2" s="1"/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12</v>
      </c>
      <c r="D3" s="1" t="n">
        <v>50</v>
      </c>
      <c r="E3" s="1" t="n">
        <v>0.151</v>
      </c>
      <c r="F3" s="1" t="n">
        <v>15.1</v>
      </c>
      <c r="G3" s="1" t="n">
        <f aca="false">D3*E3</f>
        <v>7.55</v>
      </c>
      <c r="H3" s="1" t="n">
        <v>0</v>
      </c>
      <c r="I3" s="1" t="n">
        <v>0</v>
      </c>
      <c r="J3" s="1"/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13</v>
      </c>
      <c r="D4" s="1" t="n">
        <v>30</v>
      </c>
      <c r="E4" s="1" t="n">
        <v>0.151</v>
      </c>
      <c r="F4" s="1" t="n">
        <v>15.1</v>
      </c>
      <c r="G4" s="1" t="n">
        <f aca="false">D4*E4</f>
        <v>4.53</v>
      </c>
      <c r="H4" s="1" t="n">
        <v>0</v>
      </c>
      <c r="I4" s="1" t="n">
        <v>0</v>
      </c>
      <c r="J4" s="1"/>
    </row>
    <row r="5" customFormat="false" ht="15" hidden="false" customHeight="false" outlineLevel="0" collapsed="false">
      <c r="A5" s="1" t="s">
        <v>9</v>
      </c>
      <c r="B5" s="1" t="s">
        <v>14</v>
      </c>
      <c r="C5" s="1" t="s">
        <v>15</v>
      </c>
      <c r="D5" s="1" t="n">
        <v>70</v>
      </c>
      <c r="E5" s="1" t="n">
        <v>0.202</v>
      </c>
      <c r="F5" s="1" t="n">
        <v>20.2</v>
      </c>
      <c r="G5" s="1" t="n">
        <f aca="false">D5*E5</f>
        <v>14.14</v>
      </c>
      <c r="H5" s="1" t="n">
        <f aca="false">G5</f>
        <v>14.14</v>
      </c>
      <c r="I5" s="1" t="n">
        <f aca="false">G5</f>
        <v>14.14</v>
      </c>
      <c r="J5" s="1"/>
    </row>
    <row r="6" customFormat="false" ht="15" hidden="false" customHeight="false" outlineLevel="0" collapsed="false">
      <c r="A6" s="1" t="s">
        <v>9</v>
      </c>
      <c r="B6" s="1" t="s">
        <v>14</v>
      </c>
      <c r="C6" s="1" t="s">
        <v>16</v>
      </c>
      <c r="D6" s="1" t="n">
        <v>57</v>
      </c>
      <c r="E6" s="1" t="n">
        <v>0.202</v>
      </c>
      <c r="F6" s="1" t="n">
        <v>20.2</v>
      </c>
      <c r="G6" s="1" t="n">
        <f aca="false">D6*E6</f>
        <v>11.514</v>
      </c>
      <c r="H6" s="1" t="n">
        <v>0</v>
      </c>
      <c r="I6" s="1" t="n">
        <v>0</v>
      </c>
      <c r="J6" s="1"/>
    </row>
    <row r="7" customFormat="false" ht="15" hidden="false" customHeight="false" outlineLevel="0" collapsed="false">
      <c r="A7" s="1" t="s">
        <v>9</v>
      </c>
      <c r="B7" s="1" t="s">
        <v>14</v>
      </c>
      <c r="C7" s="1" t="s">
        <v>17</v>
      </c>
      <c r="D7" s="1" t="n">
        <v>43</v>
      </c>
      <c r="E7" s="1" t="n">
        <v>0.202</v>
      </c>
      <c r="F7" s="1" t="n">
        <v>20.2</v>
      </c>
      <c r="G7" s="1" t="n">
        <f aca="false">D7*E7</f>
        <v>8.686</v>
      </c>
      <c r="H7" s="1" t="n">
        <v>0</v>
      </c>
      <c r="I7" s="1" t="n">
        <v>0</v>
      </c>
      <c r="J7" s="1"/>
    </row>
    <row r="8" customFormat="false" ht="15" hidden="false" customHeight="false" outlineLevel="0" collapsed="false">
      <c r="A8" s="1" t="s">
        <v>9</v>
      </c>
      <c r="B8" s="1" t="s">
        <v>14</v>
      </c>
      <c r="C8" s="1" t="s">
        <v>18</v>
      </c>
      <c r="D8" s="1" t="n">
        <v>30</v>
      </c>
      <c r="E8" s="1" t="n">
        <v>0.202</v>
      </c>
      <c r="F8" s="1" t="n">
        <v>20.2</v>
      </c>
      <c r="G8" s="1" t="n">
        <f aca="false">D8*E8</f>
        <v>6.06</v>
      </c>
      <c r="H8" s="1" t="n">
        <v>0</v>
      </c>
      <c r="I8" s="1" t="n">
        <v>0</v>
      </c>
      <c r="J8" s="1"/>
    </row>
    <row r="9" customFormat="false" ht="15" hidden="false" customHeight="false" outlineLevel="0" collapsed="false">
      <c r="A9" s="1" t="s">
        <v>9</v>
      </c>
      <c r="B9" s="1" t="s">
        <v>19</v>
      </c>
      <c r="C9" s="1" t="s">
        <v>20</v>
      </c>
      <c r="D9" s="1" t="n">
        <v>70</v>
      </c>
      <c r="E9" s="1" t="n">
        <v>0.191</v>
      </c>
      <c r="F9" s="1" t="n">
        <v>19.1</v>
      </c>
      <c r="G9" s="1" t="n">
        <f aca="false">D9*E9</f>
        <v>13.37</v>
      </c>
      <c r="H9" s="1" t="n">
        <f aca="false">G9</f>
        <v>13.37</v>
      </c>
      <c r="I9" s="1" t="n">
        <f aca="false">G9</f>
        <v>13.37</v>
      </c>
      <c r="J9" s="1"/>
    </row>
    <row r="10" customFormat="false" ht="15" hidden="false" customHeight="false" outlineLevel="0" collapsed="false">
      <c r="A10" s="1" t="s">
        <v>9</v>
      </c>
      <c r="B10" s="1" t="s">
        <v>19</v>
      </c>
      <c r="C10" s="1" t="s">
        <v>16</v>
      </c>
      <c r="D10" s="1" t="n">
        <v>57</v>
      </c>
      <c r="E10" s="1" t="n">
        <v>0.191</v>
      </c>
      <c r="F10" s="1" t="n">
        <v>19.1</v>
      </c>
      <c r="G10" s="1" t="n">
        <f aca="false">D10*E10</f>
        <v>10.887</v>
      </c>
      <c r="H10" s="1" t="n">
        <v>0</v>
      </c>
      <c r="I10" s="1" t="n">
        <v>0</v>
      </c>
      <c r="J10" s="1"/>
    </row>
    <row r="11" customFormat="false" ht="15" hidden="false" customHeight="false" outlineLevel="0" collapsed="false">
      <c r="A11" s="1" t="s">
        <v>9</v>
      </c>
      <c r="B11" s="1" t="s">
        <v>19</v>
      </c>
      <c r="C11" s="1" t="s">
        <v>21</v>
      </c>
      <c r="D11" s="1" t="n">
        <v>43</v>
      </c>
      <c r="E11" s="1" t="n">
        <v>0.191</v>
      </c>
      <c r="F11" s="1" t="n">
        <v>19.1</v>
      </c>
      <c r="G11" s="1" t="n">
        <f aca="false">D11*E11</f>
        <v>8.213</v>
      </c>
      <c r="H11" s="1" t="n">
        <v>0</v>
      </c>
      <c r="I11" s="1" t="n">
        <v>0</v>
      </c>
      <c r="J11" s="1"/>
    </row>
    <row r="12" customFormat="false" ht="15" hidden="false" customHeight="false" outlineLevel="0" collapsed="false">
      <c r="A12" s="1" t="s">
        <v>9</v>
      </c>
      <c r="B12" s="1" t="s">
        <v>19</v>
      </c>
      <c r="C12" s="1" t="s">
        <v>22</v>
      </c>
      <c r="D12" s="1" t="n">
        <v>30</v>
      </c>
      <c r="E12" s="1" t="n">
        <v>0.191</v>
      </c>
      <c r="F12" s="1" t="n">
        <v>19.1</v>
      </c>
      <c r="G12" s="1" t="n">
        <f aca="false">D12*E12</f>
        <v>5.73</v>
      </c>
      <c r="H12" s="1" t="n">
        <v>0</v>
      </c>
      <c r="I12" s="1" t="n">
        <v>0</v>
      </c>
      <c r="J12" s="1"/>
    </row>
    <row r="13" customFormat="false" ht="15" hidden="false" customHeight="false" outlineLevel="0" collapsed="false">
      <c r="A13" s="1" t="s">
        <v>9</v>
      </c>
      <c r="B13" s="1" t="s">
        <v>23</v>
      </c>
      <c r="C13" s="1" t="s">
        <v>24</v>
      </c>
      <c r="D13" s="1" t="n">
        <v>70</v>
      </c>
      <c r="E13" s="1" t="n">
        <v>0.491</v>
      </c>
      <c r="F13" s="1" t="n">
        <v>49.1</v>
      </c>
      <c r="G13" s="1" t="n">
        <f aca="false">D13*E13</f>
        <v>34.37</v>
      </c>
      <c r="H13" s="1" t="n">
        <v>0</v>
      </c>
      <c r="I13" s="1" t="n">
        <f aca="false">G13</f>
        <v>34.37</v>
      </c>
      <c r="J13" s="1"/>
    </row>
    <row r="14" customFormat="false" ht="15" hidden="false" customHeight="false" outlineLevel="0" collapsed="false">
      <c r="A14" s="1" t="s">
        <v>9</v>
      </c>
      <c r="B14" s="1" t="s">
        <v>23</v>
      </c>
      <c r="C14" s="1" t="s">
        <v>25</v>
      </c>
      <c r="D14" s="1" t="n">
        <v>57</v>
      </c>
      <c r="E14" s="1" t="n">
        <v>0.491</v>
      </c>
      <c r="F14" s="1" t="n">
        <v>49.1</v>
      </c>
      <c r="G14" s="1" t="n">
        <f aca="false">D14*E14</f>
        <v>27.987</v>
      </c>
      <c r="H14" s="1" t="n">
        <f aca="false">G14</f>
        <v>27.987</v>
      </c>
      <c r="I14" s="1" t="n">
        <v>0</v>
      </c>
      <c r="J14" s="1"/>
    </row>
    <row r="15" customFormat="false" ht="15" hidden="false" customHeight="false" outlineLevel="0" collapsed="false">
      <c r="A15" s="1" t="s">
        <v>9</v>
      </c>
      <c r="B15" s="1" t="s">
        <v>23</v>
      </c>
      <c r="C15" s="1" t="s">
        <v>26</v>
      </c>
      <c r="D15" s="1" t="n">
        <v>43</v>
      </c>
      <c r="E15" s="1" t="n">
        <v>0.491</v>
      </c>
      <c r="F15" s="1" t="n">
        <v>49.1</v>
      </c>
      <c r="G15" s="1" t="n">
        <f aca="false">D15*E15</f>
        <v>21.113</v>
      </c>
      <c r="H15" s="1" t="n">
        <v>0</v>
      </c>
      <c r="I15" s="1" t="n">
        <v>0</v>
      </c>
      <c r="J15" s="1"/>
    </row>
    <row r="16" customFormat="false" ht="15" hidden="false" customHeight="false" outlineLevel="0" collapsed="false">
      <c r="A16" s="1" t="s">
        <v>9</v>
      </c>
      <c r="B16" s="1" t="s">
        <v>23</v>
      </c>
      <c r="C16" s="1" t="s">
        <v>27</v>
      </c>
      <c r="D16" s="1" t="n">
        <v>30</v>
      </c>
      <c r="E16" s="1" t="n">
        <v>0.491</v>
      </c>
      <c r="F16" s="1" t="n">
        <v>49.1</v>
      </c>
      <c r="G16" s="1" t="n">
        <f aca="false">D16*E16</f>
        <v>14.73</v>
      </c>
      <c r="H16" s="1" t="n">
        <v>0</v>
      </c>
      <c r="I16" s="1" t="n">
        <v>0</v>
      </c>
      <c r="J16" s="1"/>
    </row>
    <row r="17" customFormat="false" ht="15" hidden="false" customHeight="false" outlineLevel="0" collapsed="false">
      <c r="A17" s="1" t="s">
        <v>9</v>
      </c>
      <c r="B17" s="1" t="s">
        <v>28</v>
      </c>
      <c r="C17" s="1" t="s">
        <v>29</v>
      </c>
      <c r="D17" s="1" t="n">
        <v>70</v>
      </c>
      <c r="E17" s="1" t="n">
        <v>0.617</v>
      </c>
      <c r="F17" s="1" t="n">
        <v>61.7</v>
      </c>
      <c r="G17" s="1" t="n">
        <f aca="false">D17*E17</f>
        <v>43.19</v>
      </c>
      <c r="H17" s="1" t="n">
        <v>0</v>
      </c>
      <c r="I17" s="1" t="n">
        <f aca="false">G17</f>
        <v>43.19</v>
      </c>
      <c r="J17" s="1"/>
    </row>
    <row r="18" customFormat="false" ht="15" hidden="false" customHeight="false" outlineLevel="0" collapsed="false">
      <c r="A18" s="1" t="s">
        <v>9</v>
      </c>
      <c r="B18" s="1" t="s">
        <v>28</v>
      </c>
      <c r="C18" s="1" t="s">
        <v>30</v>
      </c>
      <c r="D18" s="1" t="n">
        <v>57</v>
      </c>
      <c r="E18" s="1" t="n">
        <v>0.617</v>
      </c>
      <c r="F18" s="1" t="n">
        <v>61.7</v>
      </c>
      <c r="G18" s="1" t="n">
        <f aca="false">D18*E18</f>
        <v>35.169</v>
      </c>
      <c r="H18" s="1" t="n">
        <v>0</v>
      </c>
      <c r="I18" s="1" t="n">
        <v>0</v>
      </c>
      <c r="J18" s="1"/>
    </row>
    <row r="19" customFormat="false" ht="15" hidden="false" customHeight="false" outlineLevel="0" collapsed="false">
      <c r="A19" s="1" t="s">
        <v>9</v>
      </c>
      <c r="B19" s="1" t="s">
        <v>28</v>
      </c>
      <c r="C19" s="1" t="s">
        <v>31</v>
      </c>
      <c r="D19" s="1" t="n">
        <v>43</v>
      </c>
      <c r="E19" s="1" t="n">
        <v>0.617</v>
      </c>
      <c r="F19" s="1" t="n">
        <v>61.7</v>
      </c>
      <c r="G19" s="1" t="n">
        <f aca="false">D19*E19</f>
        <v>26.531</v>
      </c>
      <c r="H19" s="1" t="n">
        <v>0</v>
      </c>
      <c r="I19" s="1" t="n">
        <v>0</v>
      </c>
      <c r="J19" s="1"/>
    </row>
    <row r="20" customFormat="false" ht="15" hidden="false" customHeight="false" outlineLevel="0" collapsed="false">
      <c r="A20" s="1" t="s">
        <v>9</v>
      </c>
      <c r="B20" s="1" t="s">
        <v>28</v>
      </c>
      <c r="C20" s="1" t="s">
        <v>32</v>
      </c>
      <c r="D20" s="1" t="n">
        <v>30</v>
      </c>
      <c r="E20" s="1" t="n">
        <v>0.617</v>
      </c>
      <c r="F20" s="1" t="n">
        <v>61.7</v>
      </c>
      <c r="G20" s="1" t="n">
        <f aca="false">D20*E20</f>
        <v>18.51</v>
      </c>
      <c r="H20" s="1" t="n">
        <f aca="false">G20</f>
        <v>18.51</v>
      </c>
      <c r="I20" s="1" t="n">
        <v>0</v>
      </c>
      <c r="J20" s="1"/>
    </row>
    <row r="21" customFormat="false" ht="15" hidden="false" customHeight="false" outlineLevel="0" collapsed="false">
      <c r="A21" s="1" t="s">
        <v>33</v>
      </c>
      <c r="B21" s="1" t="s">
        <v>34</v>
      </c>
      <c r="C21" s="1" t="s">
        <v>35</v>
      </c>
      <c r="D21" s="1" t="n">
        <v>70</v>
      </c>
      <c r="E21" s="1" t="n">
        <v>0.338</v>
      </c>
      <c r="F21" s="1" t="n">
        <v>33.8</v>
      </c>
      <c r="G21" s="1" t="n">
        <f aca="false">D21*E21</f>
        <v>23.66</v>
      </c>
      <c r="H21" s="1" t="n">
        <f aca="false">G21</f>
        <v>23.66</v>
      </c>
      <c r="I21" s="1" t="n">
        <f aca="false">G21</f>
        <v>23.66</v>
      </c>
      <c r="J21" s="1"/>
    </row>
    <row r="22" customFormat="false" ht="15" hidden="false" customHeight="false" outlineLevel="0" collapsed="false">
      <c r="A22" s="1" t="s">
        <v>33</v>
      </c>
      <c r="B22" s="1" t="s">
        <v>34</v>
      </c>
      <c r="C22" s="1" t="s">
        <v>36</v>
      </c>
      <c r="D22" s="1" t="n">
        <v>57</v>
      </c>
      <c r="E22" s="1" t="n">
        <v>0.338</v>
      </c>
      <c r="F22" s="1" t="n">
        <v>33.8</v>
      </c>
      <c r="G22" s="1" t="n">
        <f aca="false">D22*E22</f>
        <v>19.266</v>
      </c>
      <c r="H22" s="1" t="n">
        <v>0</v>
      </c>
      <c r="I22" s="1" t="n">
        <v>0</v>
      </c>
      <c r="J22" s="1"/>
    </row>
    <row r="23" customFormat="false" ht="15" hidden="false" customHeight="false" outlineLevel="0" collapsed="false">
      <c r="A23" s="1" t="s">
        <v>33</v>
      </c>
      <c r="B23" s="1" t="s">
        <v>34</v>
      </c>
      <c r="C23" s="1" t="s">
        <v>37</v>
      </c>
      <c r="D23" s="1" t="n">
        <v>43</v>
      </c>
      <c r="E23" s="1" t="n">
        <v>0.338</v>
      </c>
      <c r="F23" s="1" t="n">
        <v>33.8</v>
      </c>
      <c r="G23" s="1" t="n">
        <f aca="false">D23*E23</f>
        <v>14.534</v>
      </c>
      <c r="H23" s="1" t="n">
        <v>0</v>
      </c>
      <c r="I23" s="1" t="n">
        <v>0</v>
      </c>
      <c r="J23" s="1"/>
    </row>
    <row r="24" customFormat="false" ht="15" hidden="false" customHeight="false" outlineLevel="0" collapsed="false">
      <c r="A24" s="1" t="s">
        <v>33</v>
      </c>
      <c r="B24" s="1" t="s">
        <v>34</v>
      </c>
      <c r="C24" s="1" t="s">
        <v>38</v>
      </c>
      <c r="D24" s="1" t="n">
        <v>30</v>
      </c>
      <c r="E24" s="1" t="n">
        <v>0.338</v>
      </c>
      <c r="F24" s="1" t="n">
        <v>33.8</v>
      </c>
      <c r="G24" s="1" t="n">
        <f aca="false">D24*E24</f>
        <v>10.14</v>
      </c>
      <c r="H24" s="1" t="n">
        <v>0</v>
      </c>
      <c r="I24" s="1" t="n">
        <v>0</v>
      </c>
      <c r="J24" s="1"/>
    </row>
    <row r="25" customFormat="false" ht="15" hidden="false" customHeight="false" outlineLevel="0" collapsed="false">
      <c r="A25" s="1" t="s">
        <v>39</v>
      </c>
      <c r="B25" s="1" t="s">
        <v>40</v>
      </c>
      <c r="C25" s="1" t="s">
        <v>41</v>
      </c>
      <c r="D25" s="1" t="n">
        <v>70</v>
      </c>
      <c r="E25" s="1" t="n">
        <v>0.169</v>
      </c>
      <c r="F25" s="1" t="n">
        <v>16.9</v>
      </c>
      <c r="G25" s="1" t="n">
        <f aca="false">D25*E25</f>
        <v>11.83</v>
      </c>
      <c r="H25" s="1" t="n">
        <f aca="false">G25</f>
        <v>11.83</v>
      </c>
      <c r="I25" s="1" t="n">
        <f aca="false">G25</f>
        <v>11.83</v>
      </c>
      <c r="J25" s="1"/>
    </row>
    <row r="26" customFormat="false" ht="15" hidden="false" customHeight="false" outlineLevel="0" collapsed="false">
      <c r="A26" s="1" t="s">
        <v>39</v>
      </c>
      <c r="B26" s="1" t="s">
        <v>40</v>
      </c>
      <c r="C26" s="1" t="s">
        <v>42</v>
      </c>
      <c r="D26" s="1" t="n">
        <v>50</v>
      </c>
      <c r="E26" s="1" t="n">
        <v>0.169</v>
      </c>
      <c r="F26" s="1" t="n">
        <v>16.9</v>
      </c>
      <c r="G26" s="1" t="n">
        <f aca="false">D26*E26</f>
        <v>8.45</v>
      </c>
      <c r="H26" s="1" t="n">
        <v>0</v>
      </c>
      <c r="I26" s="1" t="n">
        <v>0</v>
      </c>
      <c r="J26" s="1"/>
    </row>
    <row r="27" customFormat="false" ht="15" hidden="false" customHeight="false" outlineLevel="0" collapsed="false">
      <c r="A27" s="1" t="s">
        <v>39</v>
      </c>
      <c r="B27" s="1" t="s">
        <v>40</v>
      </c>
      <c r="C27" s="1" t="s">
        <v>43</v>
      </c>
      <c r="D27" s="1" t="n">
        <v>30</v>
      </c>
      <c r="E27" s="1" t="n">
        <v>0.169</v>
      </c>
      <c r="F27" s="1" t="n">
        <v>16.9</v>
      </c>
      <c r="G27" s="1" t="n">
        <f aca="false">D27*E27</f>
        <v>5.07</v>
      </c>
      <c r="H27" s="1" t="n">
        <v>0</v>
      </c>
      <c r="I27" s="1" t="n">
        <v>0</v>
      </c>
      <c r="J27" s="1"/>
    </row>
    <row r="28" customFormat="false" ht="15" hidden="false" customHeight="false" outlineLevel="0" collapsed="false">
      <c r="A28" s="1" t="s">
        <v>39</v>
      </c>
      <c r="B28" s="1" t="s">
        <v>44</v>
      </c>
      <c r="C28" s="1" t="s">
        <v>45</v>
      </c>
      <c r="D28" s="1" t="n">
        <v>70</v>
      </c>
      <c r="E28" s="1" t="n">
        <v>0.442</v>
      </c>
      <c r="F28" s="1" t="n">
        <v>44.2</v>
      </c>
      <c r="G28" s="1" t="n">
        <f aca="false">D28*E28</f>
        <v>30.94</v>
      </c>
      <c r="H28" s="1" t="n">
        <v>0</v>
      </c>
      <c r="I28" s="1" t="n">
        <f aca="false">G28</f>
        <v>30.94</v>
      </c>
      <c r="J28" s="1"/>
    </row>
    <row r="29" customFormat="false" ht="15" hidden="false" customHeight="false" outlineLevel="0" collapsed="false">
      <c r="A29" s="1" t="s">
        <v>39</v>
      </c>
      <c r="B29" s="1" t="s">
        <v>44</v>
      </c>
      <c r="C29" s="1" t="s">
        <v>46</v>
      </c>
      <c r="D29" s="1" t="n">
        <v>57</v>
      </c>
      <c r="E29" s="1" t="n">
        <v>0.442</v>
      </c>
      <c r="F29" s="1" t="n">
        <v>44.2</v>
      </c>
      <c r="G29" s="1" t="n">
        <f aca="false">D29*E29</f>
        <v>25.194</v>
      </c>
      <c r="H29" s="1" t="n">
        <f aca="false">G29</f>
        <v>25.194</v>
      </c>
      <c r="I29" s="1" t="n">
        <v>0</v>
      </c>
      <c r="J29" s="1"/>
    </row>
    <row r="30" customFormat="false" ht="15" hidden="false" customHeight="false" outlineLevel="0" collapsed="false">
      <c r="A30" s="1" t="s">
        <v>39</v>
      </c>
      <c r="B30" s="1" t="s">
        <v>44</v>
      </c>
      <c r="C30" s="1" t="s">
        <v>47</v>
      </c>
      <c r="D30" s="1" t="n">
        <v>43</v>
      </c>
      <c r="E30" s="1" t="n">
        <v>0.442</v>
      </c>
      <c r="F30" s="1" t="n">
        <v>44.2</v>
      </c>
      <c r="G30" s="1" t="n">
        <f aca="false">D30*E30</f>
        <v>19.006</v>
      </c>
      <c r="H30" s="1" t="n">
        <v>0</v>
      </c>
      <c r="I30" s="1" t="n">
        <v>0</v>
      </c>
      <c r="J30" s="1"/>
    </row>
    <row r="31" customFormat="false" ht="15" hidden="false" customHeight="false" outlineLevel="0" collapsed="false">
      <c r="A31" s="1" t="s">
        <v>39</v>
      </c>
      <c r="B31" s="1" t="s">
        <v>44</v>
      </c>
      <c r="C31" s="1" t="s">
        <v>48</v>
      </c>
      <c r="D31" s="1" t="n">
        <v>30</v>
      </c>
      <c r="E31" s="1" t="n">
        <v>0.442</v>
      </c>
      <c r="F31" s="1" t="n">
        <v>44.2</v>
      </c>
      <c r="G31" s="1" t="n">
        <f aca="false">D31*E31</f>
        <v>13.26</v>
      </c>
      <c r="H31" s="1" t="n">
        <v>0</v>
      </c>
      <c r="I31" s="1" t="n">
        <v>0</v>
      </c>
      <c r="J31" s="1"/>
    </row>
    <row r="32" customFormat="false" ht="15" hidden="false" customHeight="false" outlineLevel="0" collapsed="false">
      <c r="H32" s="3" t="n">
        <f aca="false">SUM(H2:H31)</f>
        <v>145.261</v>
      </c>
      <c r="I32" s="3" t="n">
        <f aca="false">SUM(I2:I31)</f>
        <v>182.07</v>
      </c>
      <c r="J32" s="3" t="n">
        <f aca="false">(H32/I32)*100</f>
        <v>79.783050475092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2.796875" defaultRowHeight="15" zeroHeight="false" outlineLevelRow="0" outlineLevelCol="0"/>
  <cols>
    <col collapsed="false" customWidth="true" hidden="false" outlineLevel="0" max="2" min="2" style="1" width="15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4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n">
        <v>0.151</v>
      </c>
      <c r="D2" s="1" t="n">
        <v>40</v>
      </c>
      <c r="E2" s="1" t="n">
        <v>30</v>
      </c>
      <c r="F2" s="1" t="n">
        <v>70</v>
      </c>
      <c r="G2" s="1" t="n">
        <v>6.04</v>
      </c>
      <c r="H2" s="1" t="n">
        <v>3</v>
      </c>
    </row>
    <row r="3" customFormat="false" ht="15" hidden="false" customHeight="false" outlineLevel="0" collapsed="false">
      <c r="A3" s="1" t="s">
        <v>9</v>
      </c>
      <c r="B3" s="1" t="s">
        <v>14</v>
      </c>
      <c r="C3" s="1" t="n">
        <v>0.202</v>
      </c>
      <c r="D3" s="1" t="n">
        <v>40</v>
      </c>
      <c r="E3" s="1" t="n">
        <v>30</v>
      </c>
      <c r="F3" s="1" t="n">
        <v>70</v>
      </c>
      <c r="G3" s="1" t="n">
        <v>8.08</v>
      </c>
      <c r="H3" s="1" t="n">
        <v>4</v>
      </c>
    </row>
    <row r="4" customFormat="false" ht="15" hidden="false" customHeight="false" outlineLevel="0" collapsed="false">
      <c r="A4" s="1" t="s">
        <v>9</v>
      </c>
      <c r="B4" s="1" t="s">
        <v>19</v>
      </c>
      <c r="C4" s="1" t="n">
        <v>0.191</v>
      </c>
      <c r="D4" s="1" t="n">
        <v>40</v>
      </c>
      <c r="E4" s="1" t="n">
        <v>30</v>
      </c>
      <c r="F4" s="1" t="n">
        <v>70</v>
      </c>
      <c r="G4" s="1" t="n">
        <v>7.64</v>
      </c>
      <c r="H4" s="1" t="n">
        <v>4</v>
      </c>
    </row>
    <row r="5" customFormat="false" ht="15" hidden="false" customHeight="false" outlineLevel="0" collapsed="false">
      <c r="A5" s="1" t="s">
        <v>9</v>
      </c>
      <c r="B5" s="1" t="s">
        <v>23</v>
      </c>
      <c r="C5" s="1" t="n">
        <v>0.491</v>
      </c>
      <c r="D5" s="1" t="n">
        <v>40</v>
      </c>
      <c r="E5" s="1" t="n">
        <v>30</v>
      </c>
      <c r="F5" s="1" t="n">
        <v>70</v>
      </c>
      <c r="G5" s="1" t="n">
        <v>19.64</v>
      </c>
      <c r="H5" s="1" t="n">
        <v>4</v>
      </c>
    </row>
    <row r="6" customFormat="false" ht="15" hidden="false" customHeight="false" outlineLevel="0" collapsed="false">
      <c r="A6" s="1" t="s">
        <v>9</v>
      </c>
      <c r="B6" s="1" t="s">
        <v>28</v>
      </c>
      <c r="C6" s="1" t="n">
        <v>0.617</v>
      </c>
      <c r="D6" s="1" t="n">
        <v>40</v>
      </c>
      <c r="E6" s="1" t="n">
        <v>30</v>
      </c>
      <c r="F6" s="1" t="n">
        <v>70</v>
      </c>
      <c r="G6" s="1" t="n">
        <v>24.68</v>
      </c>
      <c r="H6" s="1" t="n">
        <v>4</v>
      </c>
    </row>
    <row r="7" customFormat="false" ht="15" hidden="false" customHeight="false" outlineLevel="0" collapsed="false">
      <c r="A7" s="1" t="s">
        <v>33</v>
      </c>
      <c r="B7" s="1" t="s">
        <v>34</v>
      </c>
      <c r="C7" s="1" t="n">
        <v>0.338</v>
      </c>
      <c r="D7" s="1" t="n">
        <v>40</v>
      </c>
      <c r="E7" s="1" t="n">
        <v>30</v>
      </c>
      <c r="F7" s="1" t="n">
        <v>70</v>
      </c>
      <c r="G7" s="1" t="n">
        <v>13.52</v>
      </c>
      <c r="H7" s="1" t="n">
        <v>4</v>
      </c>
    </row>
    <row r="8" customFormat="false" ht="15" hidden="false" customHeight="false" outlineLevel="0" collapsed="false">
      <c r="A8" s="1" t="s">
        <v>39</v>
      </c>
      <c r="B8" s="1" t="s">
        <v>40</v>
      </c>
      <c r="C8" s="1" t="n">
        <v>0.169</v>
      </c>
      <c r="D8" s="1" t="n">
        <v>40</v>
      </c>
      <c r="E8" s="1" t="n">
        <v>30</v>
      </c>
      <c r="F8" s="1" t="n">
        <v>70</v>
      </c>
      <c r="G8" s="1" t="n">
        <v>6.76</v>
      </c>
      <c r="H8" s="1" t="n">
        <v>3</v>
      </c>
    </row>
    <row r="9" customFormat="false" ht="15" hidden="false" customHeight="false" outlineLevel="0" collapsed="false">
      <c r="A9" s="1" t="s">
        <v>39</v>
      </c>
      <c r="B9" s="1" t="s">
        <v>44</v>
      </c>
      <c r="C9" s="1" t="n">
        <v>0.442</v>
      </c>
      <c r="D9" s="1" t="n">
        <v>40</v>
      </c>
      <c r="E9" s="1" t="n">
        <v>30</v>
      </c>
      <c r="F9" s="1" t="n">
        <v>70</v>
      </c>
      <c r="G9" s="1" t="n">
        <v>17.68</v>
      </c>
      <c r="H9" s="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24.7578125" defaultRowHeight="15" zeroHeight="false" outlineLevelRow="0" outlineLevelCol="0"/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54</v>
      </c>
      <c r="D1" s="2" t="s">
        <v>0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n">
        <v>70</v>
      </c>
      <c r="D2" s="1" t="s">
        <v>9</v>
      </c>
    </row>
    <row r="3" customFormat="false" ht="15" hidden="false" customHeight="false" outlineLevel="0" collapsed="false">
      <c r="A3" s="1" t="s">
        <v>10</v>
      </c>
      <c r="B3" s="1" t="s">
        <v>12</v>
      </c>
      <c r="C3" s="1" t="n">
        <v>50</v>
      </c>
      <c r="D3" s="1" t="s">
        <v>9</v>
      </c>
    </row>
    <row r="4" customFormat="false" ht="15" hidden="false" customHeight="false" outlineLevel="0" collapsed="false">
      <c r="A4" s="1" t="s">
        <v>10</v>
      </c>
      <c r="B4" s="1" t="s">
        <v>13</v>
      </c>
      <c r="C4" s="1" t="n">
        <v>30</v>
      </c>
      <c r="D4" s="1" t="s">
        <v>9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n">
        <v>70</v>
      </c>
      <c r="D5" s="1" t="s">
        <v>9</v>
      </c>
    </row>
    <row r="6" customFormat="false" ht="15" hidden="false" customHeight="false" outlineLevel="0" collapsed="false">
      <c r="A6" s="1" t="s">
        <v>14</v>
      </c>
      <c r="B6" s="1" t="s">
        <v>16</v>
      </c>
      <c r="C6" s="1" t="n">
        <v>57</v>
      </c>
      <c r="D6" s="1" t="s">
        <v>9</v>
      </c>
    </row>
    <row r="7" customFormat="false" ht="15" hidden="false" customHeight="false" outlineLevel="0" collapsed="false">
      <c r="A7" s="1" t="s">
        <v>14</v>
      </c>
      <c r="B7" s="1" t="s">
        <v>17</v>
      </c>
      <c r="C7" s="1" t="n">
        <v>43</v>
      </c>
      <c r="D7" s="1" t="s">
        <v>9</v>
      </c>
    </row>
    <row r="8" customFormat="false" ht="15" hidden="false" customHeight="false" outlineLevel="0" collapsed="false">
      <c r="A8" s="1" t="s">
        <v>14</v>
      </c>
      <c r="B8" s="1" t="s">
        <v>18</v>
      </c>
      <c r="C8" s="1" t="n">
        <v>30</v>
      </c>
      <c r="D8" s="1" t="s">
        <v>9</v>
      </c>
    </row>
    <row r="9" customFormat="false" ht="15" hidden="false" customHeight="false" outlineLevel="0" collapsed="false">
      <c r="A9" s="1" t="s">
        <v>19</v>
      </c>
      <c r="B9" s="1" t="s">
        <v>20</v>
      </c>
      <c r="C9" s="1" t="n">
        <v>70</v>
      </c>
      <c r="D9" s="1" t="s">
        <v>9</v>
      </c>
    </row>
    <row r="10" customFormat="false" ht="15" hidden="false" customHeight="false" outlineLevel="0" collapsed="false">
      <c r="A10" s="1" t="s">
        <v>19</v>
      </c>
      <c r="B10" s="1" t="s">
        <v>16</v>
      </c>
      <c r="C10" s="1" t="n">
        <v>57</v>
      </c>
      <c r="D10" s="1" t="s">
        <v>9</v>
      </c>
    </row>
    <row r="11" customFormat="false" ht="15" hidden="false" customHeight="false" outlineLevel="0" collapsed="false">
      <c r="A11" s="1" t="s">
        <v>19</v>
      </c>
      <c r="B11" s="1" t="s">
        <v>21</v>
      </c>
      <c r="C11" s="1" t="n">
        <v>43</v>
      </c>
      <c r="D11" s="1" t="s">
        <v>9</v>
      </c>
    </row>
    <row r="12" customFormat="false" ht="15" hidden="false" customHeight="false" outlineLevel="0" collapsed="false">
      <c r="A12" s="1" t="s">
        <v>19</v>
      </c>
      <c r="B12" s="1" t="s">
        <v>22</v>
      </c>
      <c r="C12" s="1" t="n">
        <v>30</v>
      </c>
      <c r="D12" s="1" t="s">
        <v>9</v>
      </c>
    </row>
    <row r="13" customFormat="false" ht="15" hidden="false" customHeight="false" outlineLevel="0" collapsed="false">
      <c r="A13" s="1" t="s">
        <v>23</v>
      </c>
      <c r="B13" s="1" t="s">
        <v>24</v>
      </c>
      <c r="C13" s="1" t="n">
        <v>70</v>
      </c>
      <c r="D13" s="1" t="s">
        <v>9</v>
      </c>
    </row>
    <row r="14" customFormat="false" ht="15" hidden="false" customHeight="false" outlineLevel="0" collapsed="false">
      <c r="A14" s="1" t="s">
        <v>23</v>
      </c>
      <c r="B14" s="1" t="s">
        <v>25</v>
      </c>
      <c r="C14" s="1" t="n">
        <v>57</v>
      </c>
      <c r="D14" s="1" t="s">
        <v>9</v>
      </c>
    </row>
    <row r="15" customFormat="false" ht="15" hidden="false" customHeight="false" outlineLevel="0" collapsed="false">
      <c r="A15" s="1" t="s">
        <v>23</v>
      </c>
      <c r="B15" s="1" t="s">
        <v>26</v>
      </c>
      <c r="C15" s="1" t="n">
        <v>43</v>
      </c>
      <c r="D15" s="1" t="s">
        <v>9</v>
      </c>
    </row>
    <row r="16" customFormat="false" ht="15" hidden="false" customHeight="false" outlineLevel="0" collapsed="false">
      <c r="A16" s="1" t="s">
        <v>23</v>
      </c>
      <c r="B16" s="1" t="s">
        <v>27</v>
      </c>
      <c r="C16" s="1" t="n">
        <v>30</v>
      </c>
      <c r="D16" s="1" t="s">
        <v>9</v>
      </c>
    </row>
    <row r="17" customFormat="false" ht="15" hidden="false" customHeight="false" outlineLevel="0" collapsed="false">
      <c r="A17" s="1" t="s">
        <v>28</v>
      </c>
      <c r="B17" s="1" t="s">
        <v>29</v>
      </c>
      <c r="C17" s="1" t="n">
        <v>70</v>
      </c>
      <c r="D17" s="1" t="s">
        <v>9</v>
      </c>
    </row>
    <row r="18" customFormat="false" ht="15" hidden="false" customHeight="false" outlineLevel="0" collapsed="false">
      <c r="A18" s="1" t="s">
        <v>28</v>
      </c>
      <c r="B18" s="1" t="s">
        <v>30</v>
      </c>
      <c r="C18" s="1" t="n">
        <v>57</v>
      </c>
      <c r="D18" s="1" t="s">
        <v>9</v>
      </c>
    </row>
    <row r="19" customFormat="false" ht="15" hidden="false" customHeight="false" outlineLevel="0" collapsed="false">
      <c r="A19" s="1" t="s">
        <v>28</v>
      </c>
      <c r="B19" s="1" t="s">
        <v>31</v>
      </c>
      <c r="C19" s="1" t="n">
        <v>43</v>
      </c>
      <c r="D19" s="1" t="s">
        <v>9</v>
      </c>
    </row>
    <row r="20" customFormat="false" ht="15" hidden="false" customHeight="false" outlineLevel="0" collapsed="false">
      <c r="A20" s="1" t="s">
        <v>28</v>
      </c>
      <c r="B20" s="1" t="s">
        <v>32</v>
      </c>
      <c r="C20" s="1" t="n">
        <v>30</v>
      </c>
      <c r="D20" s="1" t="s">
        <v>9</v>
      </c>
    </row>
    <row r="21" customFormat="false" ht="15" hidden="false" customHeight="false" outlineLevel="0" collapsed="false">
      <c r="A21" s="1" t="s">
        <v>34</v>
      </c>
      <c r="B21" s="1" t="s">
        <v>35</v>
      </c>
      <c r="C21" s="1" t="n">
        <v>70</v>
      </c>
      <c r="D21" s="1" t="s">
        <v>33</v>
      </c>
    </row>
    <row r="22" customFormat="false" ht="15" hidden="false" customHeight="false" outlineLevel="0" collapsed="false">
      <c r="A22" s="1" t="s">
        <v>34</v>
      </c>
      <c r="B22" s="1" t="s">
        <v>36</v>
      </c>
      <c r="C22" s="1" t="n">
        <v>57</v>
      </c>
      <c r="D22" s="1" t="s">
        <v>33</v>
      </c>
    </row>
    <row r="23" customFormat="false" ht="15" hidden="false" customHeight="false" outlineLevel="0" collapsed="false">
      <c r="A23" s="1" t="s">
        <v>34</v>
      </c>
      <c r="B23" s="1" t="s">
        <v>37</v>
      </c>
      <c r="C23" s="1" t="n">
        <v>43</v>
      </c>
      <c r="D23" s="1" t="s">
        <v>33</v>
      </c>
    </row>
    <row r="24" customFormat="false" ht="15" hidden="false" customHeight="false" outlineLevel="0" collapsed="false">
      <c r="A24" s="1" t="s">
        <v>34</v>
      </c>
      <c r="B24" s="1" t="s">
        <v>38</v>
      </c>
      <c r="C24" s="1" t="n">
        <v>30</v>
      </c>
      <c r="D24" s="1" t="s">
        <v>33</v>
      </c>
    </row>
    <row r="25" customFormat="false" ht="15" hidden="false" customHeight="false" outlineLevel="0" collapsed="false">
      <c r="A25" s="1" t="s">
        <v>40</v>
      </c>
      <c r="B25" s="1" t="s">
        <v>41</v>
      </c>
      <c r="C25" s="1" t="n">
        <v>70</v>
      </c>
      <c r="D25" s="1" t="s">
        <v>39</v>
      </c>
    </row>
    <row r="26" customFormat="false" ht="15" hidden="false" customHeight="false" outlineLevel="0" collapsed="false">
      <c r="A26" s="1" t="s">
        <v>40</v>
      </c>
      <c r="B26" s="1" t="s">
        <v>42</v>
      </c>
      <c r="C26" s="1" t="n">
        <v>50</v>
      </c>
      <c r="D26" s="1" t="s">
        <v>39</v>
      </c>
    </row>
    <row r="27" customFormat="false" ht="15" hidden="false" customHeight="false" outlineLevel="0" collapsed="false">
      <c r="A27" s="1" t="s">
        <v>40</v>
      </c>
      <c r="B27" s="1" t="s">
        <v>43</v>
      </c>
      <c r="C27" s="1" t="n">
        <v>30</v>
      </c>
      <c r="D27" s="1" t="s">
        <v>39</v>
      </c>
    </row>
    <row r="28" customFormat="false" ht="15" hidden="false" customHeight="false" outlineLevel="0" collapsed="false">
      <c r="A28" s="1" t="s">
        <v>44</v>
      </c>
      <c r="B28" s="1" t="s">
        <v>45</v>
      </c>
      <c r="C28" s="1" t="n">
        <v>70</v>
      </c>
      <c r="D28" s="1" t="s">
        <v>39</v>
      </c>
    </row>
    <row r="29" customFormat="false" ht="15" hidden="false" customHeight="false" outlineLevel="0" collapsed="false">
      <c r="A29" s="1" t="s">
        <v>44</v>
      </c>
      <c r="B29" s="1" t="s">
        <v>46</v>
      </c>
      <c r="C29" s="1" t="n">
        <v>57</v>
      </c>
      <c r="D29" s="1" t="s">
        <v>39</v>
      </c>
    </row>
    <row r="30" customFormat="false" ht="15" hidden="false" customHeight="false" outlineLevel="0" collapsed="false">
      <c r="A30" s="1" t="s">
        <v>44</v>
      </c>
      <c r="B30" s="1" t="s">
        <v>47</v>
      </c>
      <c r="C30" s="1" t="n">
        <v>43</v>
      </c>
      <c r="D30" s="1" t="s">
        <v>39</v>
      </c>
    </row>
    <row r="31" customFormat="false" ht="15" hidden="false" customHeight="false" outlineLevel="0" collapsed="false">
      <c r="A31" s="1" t="s">
        <v>44</v>
      </c>
      <c r="B31" s="1" t="s">
        <v>48</v>
      </c>
      <c r="C31" s="1" t="n">
        <v>30</v>
      </c>
      <c r="D31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2025-12-01T07:06:08Z</dcterms:created>
  <dc:creator>openpyxl</dc:creator>
  <dc:description/>
  <dc:language>es-MX</dc:language>
  <cp:lastModifiedBy/>
  <dcterms:modified xsi:type="dcterms:W3CDTF">2025-12-01T01:16:21Z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